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อ่านก่อน" sheetId="1" state="visible" r:id="rId1"/>
    <sheet xmlns:r="http://schemas.openxmlformats.org/officeDocument/2006/relationships" name="01_Tool_Catalog" sheetId="2" state="visible" r:id="rId2"/>
    <sheet xmlns:r="http://schemas.openxmlformats.org/officeDocument/2006/relationships" name="02_Freq_Weight" sheetId="3" state="visible" r:id="rId3"/>
    <sheet xmlns:r="http://schemas.openxmlformats.org/officeDocument/2006/relationships" name="03_Colocation_Calc" sheetId="4" state="visible" r:id="rId4"/>
    <sheet xmlns:r="http://schemas.openxmlformats.org/officeDocument/2006/relationships" name="04_VM_Sizing" sheetId="5" state="visible" r:id="rId5"/>
    <sheet xmlns:r="http://schemas.openxmlformats.org/officeDocument/2006/relationships" name="05_Params" sheetId="6" state="visible" r:id="rId6"/>
    <sheet xmlns:r="http://schemas.openxmlformats.org/officeDocument/2006/relationships" name="06_Storage_LongTerm" sheetId="7" state="visible" r:id="rId7"/>
    <sheet xmlns:r="http://schemas.openxmlformats.org/officeDocument/2006/relationships" name="07_Compliance_Matrix" sheetId="8" state="visible" r:id="rId8"/>
    <sheet xmlns:r="http://schemas.openxmlformats.org/officeDocument/2006/relationships" name="08_Tool_Capability" sheetId="9" state="visible" r:id="rId9"/>
    <sheet xmlns:r="http://schemas.openxmlformats.org/officeDocument/2006/relationships" name="09_Profile_Comparison" sheetId="10" state="visible" r:id="rId10"/>
    <sheet xmlns:r="http://schemas.openxmlformats.org/officeDocument/2006/relationships" name="10_Archetypes" sheetId="11" state="visible" r:id="rId11"/>
    <sheet xmlns:r="http://schemas.openxmlformats.org/officeDocument/2006/relationships" name="11_Framewor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8">
    <font>
      <name val="Calibri"/>
      <family val="2"/>
      <color theme="1"/>
      <sz val="11"/>
      <scheme val="minor"/>
    </font>
    <font>
      <name val="Tahoma"/>
      <b val="1"/>
      <color rgb="001F3864"/>
      <sz val="18"/>
    </font>
    <font>
      <name val="Tahoma"/>
      <color rgb="00ED7D31"/>
      <sz val="11"/>
    </font>
    <font>
      <name val="Tahoma"/>
      <i val="1"/>
      <color rgb="00808080"/>
      <sz val="9"/>
    </font>
    <font>
      <name val="Tahoma"/>
      <b val="1"/>
      <color rgb="001F3864"/>
      <sz val="12"/>
    </font>
    <font>
      <name val="Tahoma"/>
      <b val="1"/>
      <color rgb="00ED7D31"/>
      <sz val="9"/>
    </font>
    <font>
      <name val="Tahoma"/>
      <color rgb="00404040"/>
      <sz val="9"/>
    </font>
    <font>
      <name val="Tahoma"/>
      <b val="1"/>
      <color rgb="001F3864"/>
      <sz val="14"/>
    </font>
    <font>
      <name val="Tahoma"/>
      <b val="1"/>
      <color rgb="00FFFFFF"/>
      <sz val="9"/>
    </font>
    <font>
      <name val="Tahoma"/>
      <color rgb="00000000"/>
      <sz val="8"/>
    </font>
    <font>
      <name val="Tahoma"/>
      <b val="1"/>
      <color rgb="00008000"/>
      <sz val="8"/>
    </font>
    <font>
      <name val="Tahoma"/>
      <b val="1"/>
      <color rgb="00000000"/>
      <sz val="9"/>
    </font>
    <font>
      <name val="Tahoma"/>
      <i val="1"/>
      <color rgb="00FF0000"/>
      <sz val="8"/>
    </font>
    <font>
      <name val="Tahoma"/>
      <b val="1"/>
      <color rgb="001F3864"/>
      <sz val="10"/>
    </font>
    <font>
      <name val="Tahoma"/>
      <color rgb="00595959"/>
      <sz val="8"/>
    </font>
    <font>
      <name val="Tahoma"/>
      <color rgb="00000000"/>
      <sz val="9"/>
    </font>
    <font>
      <name val="Tahoma"/>
      <b val="1"/>
      <color rgb="00008000"/>
      <sz val="9"/>
    </font>
    <font>
      <name val="Tahoma"/>
      <i val="1"/>
      <color rgb="00808080"/>
      <sz val="8"/>
    </font>
    <font>
      <name val="Tahoma"/>
      <color rgb="00008000"/>
      <sz val="8"/>
    </font>
    <font>
      <name val="Tahoma"/>
      <color rgb="000000FF"/>
      <sz val="8"/>
    </font>
    <font>
      <name val="Tahoma"/>
      <b val="1"/>
      <color rgb="000000FF"/>
      <sz val="8"/>
    </font>
    <font>
      <name val="Tahoma"/>
      <b val="1"/>
      <color rgb="00ED7D31"/>
      <sz val="8"/>
    </font>
    <font>
      <name val="Tahoma"/>
      <b val="1"/>
      <color rgb="00000000"/>
      <sz val="8"/>
    </font>
    <font>
      <name val="Tahoma"/>
      <b val="1"/>
      <color rgb="001F3864"/>
      <sz val="9"/>
    </font>
    <font>
      <name val="Tahoma"/>
      <b val="1"/>
      <color rgb="000000FF"/>
      <sz val="9"/>
    </font>
    <font>
      <name val="Tahoma"/>
      <b val="1"/>
      <color rgb="001F3864"/>
      <sz val="11"/>
    </font>
    <font>
      <name val="Tahoma"/>
      <color rgb="00404040"/>
      <sz val="8"/>
    </font>
    <font>
      <name val="Tahoma"/>
      <b val="1"/>
      <color rgb="00FF0000"/>
      <sz val="9"/>
    </font>
    <font>
      <name val="Tahoma"/>
      <b val="1"/>
      <color rgb="00006100"/>
      <sz val="7"/>
    </font>
    <font>
      <name val="Tahoma"/>
      <color rgb="00BFBFBF"/>
      <sz val="7"/>
    </font>
    <font>
      <name val="Tahoma"/>
      <b val="1"/>
      <color rgb="001F3864"/>
      <sz val="8"/>
    </font>
    <font>
      <name val="Tahoma"/>
      <b val="1"/>
      <color rgb="00000000"/>
      <sz val="7"/>
    </font>
    <font>
      <name val="Tahoma"/>
      <color rgb="00000000"/>
      <sz val="7"/>
    </font>
    <font>
      <name val="Tahoma"/>
      <color rgb="00FF0000"/>
      <sz val="8"/>
    </font>
    <font>
      <name val="Tahoma"/>
      <b val="1"/>
      <color rgb="00FF0000"/>
      <sz val="11"/>
    </font>
    <font>
      <name val="Tahoma"/>
      <color rgb="001F3864"/>
      <sz val="8"/>
    </font>
    <font>
      <name val="Tahoma"/>
      <color rgb="00BFBFBF"/>
      <sz val="8"/>
    </font>
    <font>
      <name val="Tahoma"/>
      <b val="1"/>
      <color rgb="00006100"/>
      <sz val="8"/>
    </font>
  </fonts>
  <fills count="1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BE5D6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/>
    </xf>
    <xf numFmtId="0" fontId="9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/>
    </xf>
    <xf numFmtId="9" fontId="10" fillId="4" borderId="1" applyAlignment="1" pivotButton="0" quotePrefix="0" xfId="0">
      <alignment horizontal="center"/>
    </xf>
    <xf numFmtId="9" fontId="9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/>
    </xf>
    <xf numFmtId="9" fontId="10" fillId="5" borderId="1" applyAlignment="1" pivotButton="0" quotePrefix="0" xfId="0">
      <alignment horizontal="center"/>
    </xf>
    <xf numFmtId="9" fontId="9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  <xf numFmtId="9" fontId="10" fillId="6" borderId="1" applyAlignment="1" pivotButton="0" quotePrefix="0" xfId="0">
      <alignment horizontal="center"/>
    </xf>
    <xf numFmtId="9" fontId="9" fillId="6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left" vertical="top"/>
    </xf>
    <xf numFmtId="0" fontId="9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/>
    </xf>
    <xf numFmtId="9" fontId="10" fillId="7" borderId="1" applyAlignment="1" pivotButton="0" quotePrefix="0" xfId="0">
      <alignment horizontal="center"/>
    </xf>
    <xf numFmtId="9" fontId="9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left" vertical="top"/>
    </xf>
    <xf numFmtId="0" fontId="9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/>
    </xf>
    <xf numFmtId="9" fontId="10" fillId="8" borderId="1" applyAlignment="1" pivotButton="0" quotePrefix="0" xfId="0">
      <alignment horizontal="center"/>
    </xf>
    <xf numFmtId="9" fontId="9" fillId="8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left" vertical="top"/>
    </xf>
    <xf numFmtId="0" fontId="9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top"/>
    </xf>
    <xf numFmtId="9" fontId="10" fillId="9" borderId="1" applyAlignment="1" pivotButton="0" quotePrefix="0" xfId="0">
      <alignment horizontal="center"/>
    </xf>
    <xf numFmtId="9" fontId="9" fillId="9" borderId="1" applyAlignment="1" pivotButton="0" quotePrefix="0" xfId="0">
      <alignment horizontal="center" vertical="top"/>
    </xf>
    <xf numFmtId="0" fontId="11" fillId="0" borderId="0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9" fontId="16" fillId="0" borderId="1" applyAlignment="1" pivotButton="0" quotePrefix="0" xfId="0">
      <alignment horizontal="center"/>
    </xf>
    <xf numFmtId="0" fontId="14" fillId="0" borderId="1" applyAlignment="1" pivotButton="0" quotePrefix="0" xfId="0">
      <alignment vertical="top" wrapText="1"/>
    </xf>
    <xf numFmtId="0" fontId="17" fillId="0" borderId="0" pivotButton="0" quotePrefix="0" xfId="0"/>
    <xf numFmtId="0" fontId="21" fillId="0" borderId="0" applyAlignment="1" pivotButton="0" quotePrefix="0" xfId="0">
      <alignment horizontal="center" wrapText="1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9" fontId="10" fillId="4" borderId="1" pivotButton="0" quotePrefix="0" xfId="0"/>
    <xf numFmtId="164" fontId="18" fillId="4" borderId="1" pivotButton="0" quotePrefix="0" xfId="0"/>
    <xf numFmtId="0" fontId="19" fillId="10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9" fontId="10" fillId="5" borderId="1" pivotButton="0" quotePrefix="0" xfId="0"/>
    <xf numFmtId="164" fontId="18" fillId="5" borderId="1" pivotButton="0" quotePrefix="0" xfId="0"/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9" fontId="10" fillId="6" borderId="1" pivotButton="0" quotePrefix="0" xfId="0"/>
    <xf numFmtId="164" fontId="18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9" fontId="10" fillId="7" borderId="1" pivotButton="0" quotePrefix="0" xfId="0"/>
    <xf numFmtId="164" fontId="18" fillId="7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9" fontId="10" fillId="8" borderId="1" pivotButton="0" quotePrefix="0" xfId="0"/>
    <xf numFmtId="164" fontId="18" fillId="8" borderId="1" pivotButton="0" quotePrefix="0" xfId="0"/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9" fontId="10" fillId="9" borderId="1" pivotButton="0" quotePrefix="0" xfId="0"/>
    <xf numFmtId="164" fontId="18" fillId="9" borderId="1" pivotButton="0" quotePrefix="0" xfId="0"/>
    <xf numFmtId="0" fontId="22" fillId="0" borderId="0" pivotButton="0" quotePrefix="0" xfId="0"/>
    <xf numFmtId="0" fontId="11" fillId="0" borderId="1" applyAlignment="1" pivotButton="0" quotePrefix="0" xfId="0">
      <alignment horizontal="center"/>
    </xf>
    <xf numFmtId="0" fontId="23" fillId="0" borderId="0" pivotButton="0" quotePrefix="0" xfId="0"/>
    <xf numFmtId="0" fontId="9" fillId="0" borderId="0" applyAlignment="1" pivotButton="0" quotePrefix="0" xfId="0">
      <alignment vertical="top" wrapText="1"/>
    </xf>
    <xf numFmtId="0" fontId="15" fillId="0" borderId="1" applyAlignment="1" pivotButton="0" quotePrefix="0" xfId="0">
      <alignment horizontal="center"/>
    </xf>
    <xf numFmtId="4" fontId="15" fillId="0" borderId="1" applyAlignment="1" pivotButton="0" quotePrefix="0" xfId="0">
      <alignment horizontal="center"/>
    </xf>
    <xf numFmtId="3" fontId="23" fillId="7" borderId="1" applyAlignment="1" pivotButton="0" quotePrefix="0" xfId="0">
      <alignment horizontal="center"/>
    </xf>
    <xf numFmtId="3" fontId="15" fillId="0" borderId="1" applyAlignment="1" pivotButton="0" quotePrefix="0" xfId="0">
      <alignment horizontal="center"/>
    </xf>
    <xf numFmtId="0" fontId="24" fillId="1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wrapText="1"/>
    </xf>
    <xf numFmtId="0" fontId="25" fillId="0" borderId="0" pivotButton="0" quotePrefix="0" xfId="0"/>
    <xf numFmtId="0" fontId="21" fillId="0" borderId="0" pivotButton="0" quotePrefix="0" xfId="0"/>
    <xf numFmtId="0" fontId="26" fillId="0" borderId="0" applyAlignment="1" pivotButton="0" quotePrefix="0" xfId="0">
      <alignment vertical="top" wrapText="1"/>
    </xf>
    <xf numFmtId="0" fontId="24" fillId="12" borderId="1" pivotButton="0" quotePrefix="0" xfId="0"/>
    <xf numFmtId="0" fontId="14" fillId="0" borderId="0" applyAlignment="1" pivotButton="0" quotePrefix="0" xfId="0">
      <alignment vertical="top" wrapText="1"/>
    </xf>
    <xf numFmtId="0" fontId="8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2" fontId="24" fillId="12" borderId="1" pivotButton="0" quotePrefix="0" xfId="0"/>
    <xf numFmtId="0" fontId="9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left"/>
    </xf>
    <xf numFmtId="9" fontId="9" fillId="4" borderId="1" applyAlignment="1" pivotButton="0" quotePrefix="0" xfId="0">
      <alignment horizontal="center"/>
    </xf>
    <xf numFmtId="3" fontId="23" fillId="7" borderId="1" applyAlignment="1" pivotButton="0" quotePrefix="0" xfId="0">
      <alignment horizontal="center"/>
    </xf>
    <xf numFmtId="0" fontId="26" fillId="0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left"/>
    </xf>
    <xf numFmtId="9" fontId="9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left"/>
    </xf>
    <xf numFmtId="9" fontId="9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left"/>
    </xf>
    <xf numFmtId="9" fontId="9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9" fillId="8" borderId="1" applyAlignment="1" pivotButton="0" quotePrefix="0" xfId="0">
      <alignment horizontal="left"/>
    </xf>
    <xf numFmtId="9" fontId="9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9" fillId="9" borderId="1" applyAlignment="1" pivotButton="0" quotePrefix="0" xfId="0">
      <alignment horizontal="left"/>
    </xf>
    <xf numFmtId="9" fontId="9" fillId="9" borderId="1" applyAlignment="1" pivotButton="0" quotePrefix="0" xfId="0">
      <alignment horizontal="center"/>
    </xf>
    <xf numFmtId="3" fontId="27" fillId="0" borderId="1" pivotButton="0" quotePrefix="0" xfId="0"/>
    <xf numFmtId="0" fontId="9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left" vertical="top"/>
    </xf>
    <xf numFmtId="0" fontId="22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22" fillId="0" borderId="1" applyAlignment="1" pivotButton="0" quotePrefix="0" xfId="0">
      <alignment horizontal="center"/>
    </xf>
    <xf numFmtId="0" fontId="33" fillId="0" borderId="1" applyAlignment="1" pivotButton="0" quotePrefix="0" xfId="0">
      <alignment vertical="top" wrapText="1"/>
    </xf>
    <xf numFmtId="165" fontId="4" fillId="12" borderId="1" pivotButton="0" quotePrefix="0" xfId="0"/>
    <xf numFmtId="0" fontId="34" fillId="0" borderId="1" pivotButton="0" quotePrefix="0" xfId="0"/>
    <xf numFmtId="0" fontId="8" fillId="3" borderId="1" applyAlignment="1" pivotButton="0" quotePrefix="0" xfId="0">
      <alignment horizontal="center" vertical="bottom" textRotation="90"/>
    </xf>
    <xf numFmtId="0" fontId="31" fillId="0" borderId="0" pivotButton="0" quotePrefix="0" xfId="0"/>
    <xf numFmtId="0" fontId="9" fillId="0" borderId="0" pivotButton="0" quotePrefix="0" xfId="0"/>
    <xf numFmtId="0" fontId="28" fillId="13" borderId="1" applyAlignment="1" pivotButton="0" quotePrefix="0" xfId="0">
      <alignment horizontal="center"/>
    </xf>
    <xf numFmtId="0" fontId="29" fillId="10" borderId="1" applyAlignment="1" pivotButton="0" quotePrefix="0" xfId="0">
      <alignment horizontal="center"/>
    </xf>
    <xf numFmtId="0" fontId="32" fillId="0" borderId="1" applyAlignment="1" pivotButton="0" quotePrefix="0" xfId="0">
      <alignment horizontal="center"/>
    </xf>
    <xf numFmtId="0" fontId="30" fillId="0" borderId="0" pivotButton="0" quotePrefix="0" xfId="0"/>
    <xf numFmtId="0" fontId="31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top" wrapText="1"/>
    </xf>
    <xf numFmtId="0" fontId="22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top"/>
    </xf>
    <xf numFmtId="0" fontId="9" fillId="2" borderId="1" applyAlignment="1" pivotButton="0" quotePrefix="0" xfId="0">
      <alignment horizontal="center" vertical="top"/>
    </xf>
    <xf numFmtId="0" fontId="0" fillId="0" borderId="4" pivotButton="0" quotePrefix="0" xfId="0"/>
    <xf numFmtId="0" fontId="35" fillId="0" borderId="0" pivotButton="0" quotePrefix="0" xfId="0"/>
    <xf numFmtId="0" fontId="23" fillId="7" borderId="1" applyAlignment="1" pivotButton="0" quotePrefix="0" xfId="0">
      <alignment horizontal="center"/>
    </xf>
    <xf numFmtId="0" fontId="22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/>
    </xf>
    <xf numFmtId="0" fontId="9" fillId="10" borderId="1" applyAlignment="1" pivotButton="0" quotePrefix="0" xfId="0">
      <alignment horizontal="center" vertical="top"/>
    </xf>
    <xf numFmtId="0" fontId="0" fillId="0" borderId="3" pivotButton="0" quotePrefix="0" xfId="0"/>
    <xf numFmtId="0" fontId="9" fillId="0" borderId="0" applyAlignment="1" pivotButton="0" quotePrefix="0" xfId="0">
      <alignment horizontal="center"/>
    </xf>
    <xf numFmtId="0" fontId="23" fillId="11" borderId="0" pivotButton="0" quotePrefix="0" xfId="0"/>
    <xf numFmtId="0" fontId="0" fillId="11" borderId="0" pivotButton="0" quotePrefix="0" xfId="0"/>
    <xf numFmtId="0" fontId="22" fillId="5" borderId="1" applyAlignment="1" pivotButton="0" quotePrefix="0" xfId="0">
      <alignment horizontal="left" vertical="top" wrapText="1"/>
    </xf>
    <xf numFmtId="0" fontId="36" fillId="10" borderId="1" applyAlignment="1" pivotButton="0" quotePrefix="0" xfId="0">
      <alignment horizontal="center"/>
    </xf>
    <xf numFmtId="0" fontId="37" fillId="13" borderId="1" applyAlignment="1" pivotButton="0" quotePrefix="0" xfId="0">
      <alignment horizontal="center"/>
    </xf>
    <xf numFmtId="0" fontId="2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CI/CD Planner</author>
  </authors>
  <commentList>
    <comment ref="C6" authorId="0" shapeId="0">
      <text>
        <t>ไฟล์นี้สร้างจาก scripts/build_xlsx.py ใน repo cicd-resource-planner แก้ข้อมูลต้นทางที่ scripts/catalog_data.py แล้ว build ใหม่</t>
      </text>
    </comment>
  </commentList>
</comments>
</file>

<file path=xl/comments/comment2.xml><?xml version="1.0" encoding="utf-8"?>
<comments xmlns="http://schemas.openxmlformats.org/spreadsheetml/2006/main">
  <authors>
    <author>CI/CD Planner</author>
  </authors>
  <commentList>
    <comment ref="AK4" authorId="0" shapeId="0">
      <text>
        <t>C-LOG-90
เก็บ Log จราจรคอมพิวเตอร์ไม่น้อยกว่า 90 วัน และตรวจสอบย้อนหลังได้
พ.ร.บ. คอมพิวเตอร์ 2550/2560 — ม.26</t>
      </text>
    </comment>
    <comment ref="AL4" authorId="0" shapeId="0">
      <text>
        <t>C-LOG-CENTRAL
รวบรวม Log ไว้ที่ศูนย์กลางที่แก้ไขย้อนหลังไม่ได้
พ.ร.บ. คอมพิวเตอร์ 2550/2560 — ม.26</t>
      </text>
    </comment>
    <comment ref="AN4" authorId="0" shapeId="0">
      <text>
        <t>C-LOG-AUDIT
บันทึก Audit Trail ว่าใครทำอะไรเมื่อไหร่ และเก็บตามอายุที่กฎหมายกำหนด
พ.ร.บ. คอมพิวเตอร์ 2550/2560 — ม.26</t>
      </text>
    </comment>
    <comment ref="U5" authorId="0" shapeId="0">
      <text>
        <t>C-APP-PENTEST
ประเมินช่องโหว่และทดสอบเจาะระบบ (VAPT) ก่อน Go-Live และเป็นระยะ
พ.ร.บ. ไซเบอร์ 2562 — ม.54-57</t>
      </text>
    </comment>
    <comment ref="AM5" authorId="0" shapeId="0">
      <text>
        <t>C-LOG-SIEM
มีระบบเฝ้าระวังและแจ้งเตือนเหตุการณ์ด้านความปลอดภัย (SIEM / Alerting)
พ.ร.บ. ไซเบอร์ 2562 — ม.56</t>
      </text>
    </comment>
    <comment ref="AN5" authorId="0" shapeId="0">
      <text>
        <t>C-LOG-AUDIT
บันทึก Audit Trail ว่าใครทำอะไรเมื่อไหร่ และเก็บตามอายุที่กฎหมายกำหนด
พ.ร.บ. ไซเบอร์ 2562 — ม.54</t>
      </text>
    </comment>
    <comment ref="AO5" authorId="0" shapeId="0">
      <text>
        <t>C-LOG-NOTIFY
แจ้งเหตุและยกระดับเหตุการณ์ได้ทันกรอบเวลาที่กฎหมายกำหนด
พ.ร.บ. ไซเบอร์ 2562 — ม.57</t>
      </text>
    </comment>
    <comment ref="AV5" authorId="0" shapeId="0">
      <text>
        <t>C-OPS-DEPLOY
มีกลยุทธ์การ Deploy ที่ย้อนกลับได้ (Rolling / Blue-Green / Canary)
พ.ร.บ. ไซเบอร์ 2562 — ม.62 การรักษาความต่อเนื่องของบริการ</t>
      </text>
    </comment>
    <comment ref="AX5" authorId="0" shapeId="0">
      <text>
        <t>C-OPS-BCP
มีแผนความต่อเนื่องทางธุรกิจและการกู้คืนระบบ พร้อมซ้อมแผนเป็นประจำ
พ.ร.บ. ไซเบอร์ 2562 — ม.3, ม.62</t>
      </text>
    </comment>
    <comment ref="AF6" authorId="0" shapeId="0">
      <text>
        <t>C-CRY-KEY
จัดการกุญแจและ Secret อย่างปลอดภัย พร้อม Key Rotation
PDPA 2562 — ม.37</t>
      </text>
    </comment>
    <comment ref="AI6" authorId="0" shapeId="0">
      <text>
        <t>C-IAM-LEAST
ให้สิทธิ์เท่าที่จำเป็น (Least Privilege) และตรวจสิทธิ์ทุกการเรียกใช้
PDPA 2562 — ม.37</t>
      </text>
    </comment>
    <comment ref="AN6" authorId="0" shapeId="0">
      <text>
        <t>C-LOG-AUDIT
บันทึก Audit Trail ว่าใครทำอะไรเมื่อไหร่ และเก็บตามอายุที่กฎหมายกำหนด
PDPA 2562 — ม.39 (RoPA)</t>
      </text>
    </comment>
    <comment ref="AY6" authorId="0" shapeId="0">
      <text>
        <t>C-PRV-MEASURE
มีมาตรการรักษาความมั่นคงปลอดภัยที่เหมาะสมกับข้อมูลส่วนบุคคล
PDPA 2562 — ม.37</t>
      </text>
    </comment>
    <comment ref="AZ6" authorId="0" shapeId="0">
      <text>
        <t>C-PRV-BREACH
ตรวจจับเหตุละเมิดข้อมูลส่วนบุคคลได้เร็วพอที่จะแจ้งภายในกรอบเวลา
PDPA 2562 — ม.37(4)</t>
      </text>
    </comment>
    <comment ref="BA6" authorId="0" shapeId="0">
      <text>
        <t>C-PRV-MINIMIZE
ไม่ให้ข้อมูลส่วนบุคคลรั่วไหลไปกับ Log, Artifact หรือชุดข้อมูลทดสอบ
PDPA 2562 — ม.37</t>
      </text>
    </comment>
    <comment ref="I7" authorId="0" shapeId="0">
      <text>
        <t>C-SDLC-TRACE
Pipeline ทำงานอัตโนมัติและตรวจสอบย้อนหลังได้ 100% (Traceability)
พ.ร.บ. ปฏิบัติราชการทางอิเล็กทรอนิกส์ 2565 — ความน่าเชื่อถือของระบบ</t>
      </text>
    </comment>
    <comment ref="AE7" authorId="0" shapeId="0">
      <text>
        <t>C-CRY-TLS
ใช้ TLS 1.2 หรือ 1.3 เท่านั้น ห้าม Self-signed Certificate
พ.ร.บ. ปฏิบัติราชการทางอิเล็กทรอนิกส์ 2565 — ความปลอดภัยของช่องทาง</t>
      </text>
    </comment>
    <comment ref="AN7" authorId="0" shapeId="0">
      <text>
        <t>C-LOG-AUDIT
บันทึก Audit Trail ว่าใครทำอะไรเมื่อไหร่ และเก็บตามอายุที่กฎหมายกำหนด
พ.ร.บ. ปฏิบัติราชการทางอิเล็กทรอนิกส์ 2565 — การเก็บหลักฐานทางอิเล็กทรอนิกส์</t>
      </text>
    </comment>
    <comment ref="AE8" authorId="0" shapeId="0">
      <text>
        <t>C-CRY-TLS
ใช้ TLS 1.2 หรือ 1.3 เท่านั้น ห้าม Self-signed Certificate
พ.ร.ฎ. วิธีการแบบปลอดภัย 2553 — การรักษาความลับของข้อมูล</t>
      </text>
    </comment>
    <comment ref="AH8" authorId="0" shapeId="0">
      <text>
        <t>C-IAM-MFA
บังคับ Multi-Factor Authentication สำหรับบัญชีสำคัญ
พ.ร.ฎ. วิธีการแบบปลอดภัย 2553 — การยืนยันตัวตน</t>
      </text>
    </comment>
    <comment ref="AL8" authorId="0" shapeId="0">
      <text>
        <t>C-LOG-CENTRAL
รวบรวม Log ไว้ที่ศูนย์กลางที่แก้ไขย้อนหลังไม่ได้
พ.ร.ฎ. วิธีการแบบปลอดภัย 2553 — การบันทึกเหตุการณ์</t>
      </text>
    </comment>
    <comment ref="AW8" authorId="0" shapeId="0">
      <text>
        <t>C-OPS-BACKUP
สำรองข้อมูลและ ทดสอบการกู้คืนจริง ไม่ใช่แค่สำรองผ่าน
พ.ร.ฎ. วิธีการแบบปลอดภัย 2553 — ความพร้อมใช้ของระบบ</t>
      </text>
    </comment>
    <comment ref="U11" authorId="0" shapeId="0">
      <text>
        <t>C-APP-PENTEST
ประเมินช่องโหว่และทดสอบเจาะระบบ (VAPT) ก่อน Go-Live และเป็นระยะ
มาตรฐานขั้นต่ำ 2566 — ระดับสูง — VAPT</t>
      </text>
    </comment>
    <comment ref="W11" authorId="0" shapeId="0">
      <text>
        <t>C-SC-SBOM
สร้าง SBOM ทุก artifact และเก็บคู่กับ artifact
มาตรฐานขั้นต่ำ 2566 — ระดับสูง — Third Party Management</t>
      </text>
    </comment>
    <comment ref="X11" authorId="0" shapeId="0">
      <text>
        <t>C-SC-SCA
ตรวจ Dependency เทียบฐานข้อมูลช่องโหว่ (CVE) ทุกรอบ
มาตรฐานขั้นต่ำ 2566 — ระดับสูง — Third Party Management</t>
      </text>
    </comment>
    <comment ref="AJ11" authorId="0" shapeId="0">
      <text>
        <t>C-IAM-REMOTE
ควบคุมการเชื่อมต่อระยะไกลและสื่อบันทึกข้อมูลแบบถอดได้
มาตรฐานขั้นต่ำ 2566 — ระดับกลาง — Remote Connection</t>
      </text>
    </comment>
    <comment ref="AK11" authorId="0" shapeId="0">
      <text>
        <t>C-LOG-90
เก็บ Log จราจรคอมพิวเตอร์ไม่น้อยกว่า 90 วัน และตรวจสอบย้อนหลังได้
มาตรฐานขั้นต่ำ 2566 — Log Management</t>
      </text>
    </comment>
    <comment ref="AN11" authorId="0" shapeId="0">
      <text>
        <t>C-LOG-AUDIT
บันทึก Audit Trail ว่าใครทำอะไรเมื่อไหร่ และเก็บตามอายุที่กฎหมายกำหนด
มาตรฐานขั้นต่ำ 2566 — Log Management</t>
      </text>
    </comment>
    <comment ref="AP11" authorId="0" shapeId="0">
      <text>
        <t>C-OPS-HARDEN
มี Hardening Baseline และตรวจการตั้งค่าที่ผิดพลาดอย่างสม่ำเสมอ
มาตรฐานขั้นต่ำ 2566 — การควบคุมเชิงเทคนิค</t>
      </text>
    </comment>
    <comment ref="AW11" authorId="0" shapeId="0">
      <text>
        <t>C-OPS-BACKUP
สำรองข้อมูลและ ทดสอบการกู้คืนจริง ไม่ใช่แค่สำรองผ่าน
มาตรฐานขั้นต่ำ 2566 — ระดับสูง — Resilience &amp; Recovery</t>
      </text>
    </comment>
    <comment ref="AX11" authorId="0" shapeId="0">
      <text>
        <t>C-OPS-BCP
มีแผนความต่อเนื่องทางธุรกิจและการกู้คืนระบบ พร้อมซ้อมแผนเป็นประจำ
มาตรฐานขั้นต่ำ 2566 — ระดับสูง — Resilience &amp; Recovery</t>
      </text>
    </comment>
    <comment ref="AF12" authorId="0" shapeId="0">
      <text>
        <t>C-CRY-KEY
จัดการกุญแจและ Secret อย่างปลอดภัย พร้อม Key Rotation
มาตรฐานคลาวด์ 2567 — Data Encryption</t>
      </text>
    </comment>
    <comment ref="AI12" authorId="0" shapeId="0">
      <text>
        <t>C-IAM-LEAST
ให้สิทธิ์เท่าที่จำเป็น (Least Privilege) และตรวจสิทธิ์ทุกการเรียกใช้
มาตรฐานคลาวด์ 2567 — Access Control</t>
      </text>
    </comment>
    <comment ref="AL12" authorId="0" shapeId="0">
      <text>
        <t>C-LOG-CENTRAL
รวบรวม Log ไว้ที่ศูนย์กลางที่แก้ไขย้อนหลังไม่ได้
มาตรฐานคลาวด์ 2567 — Operation Security</t>
      </text>
    </comment>
    <comment ref="AQ12" authorId="0" shapeId="0">
      <text>
        <t>C-OPS-IAC
ตรวจไฟล์ Infrastructure as Code และบังคับ Policy-as-Code ก่อนใช้งาน
มาตรฐานคลาวด์ 2567 — Cloud Infrastructure Security</t>
      </text>
    </comment>
    <comment ref="AR12" authorId="0" shapeId="0">
      <text>
        <t>C-OPS-CSPM
ตรวจสถานะความปลอดภัยของโครงสร้างพื้นฐาน / คลาวด์เป็นระยะ
มาตรฐานคลาวด์ 2567 — Cloud Infrastructure Security</t>
      </text>
    </comment>
    <comment ref="AT12" authorId="0" shapeId="0">
      <text>
        <t>C-OPS-MONITOR
มีระบบ Observability เก็บ Metrics / Logs / Traces และตั้ง Alert
มาตรฐานคลาวด์ 2567 — Continuous Monitoring</t>
      </text>
    </comment>
    <comment ref="J13" authorId="0" shapeId="0">
      <text>
        <t>C-SDLC-SAST
สแกนหาช่องโหว่ในซอร์สโค้ดแบบ Static (SAST) ทุกรอบ
มาตรฐานเว็บไซต์ 2568 — Secure Coding</t>
      </text>
    </comment>
    <comment ref="U13" authorId="0" shapeId="0">
      <text>
        <t>C-APP-PENTEST
ประเมินช่องโหว่และทดสอบเจาะระบบ (VAPT) ก่อน Go-Live และเป็นระยะ
มาตรฐานเว็บไซต์ 2568 — Penetration Testing</t>
      </text>
    </comment>
    <comment ref="V13" authorId="0" shapeId="0">
      <text>
        <t>C-APP-WAF
ติดตั้ง Web Application Firewall หน้าระบบที่เปิดสู่ภายนอก
มาตรฐานเว็บไซต์ 2568 — Website Security Operation</t>
      </text>
    </comment>
    <comment ref="AE13" authorId="0" shapeId="0">
      <text>
        <t>C-CRY-TLS
ใช้ TLS 1.2 หรือ 1.3 เท่านั้น ห้าม Self-signed Certificate
มาตรฐานเว็บไซต์ 2568 — Website Security Operation</t>
      </text>
    </comment>
    <comment ref="AH13" authorId="0" shapeId="0">
      <text>
        <t>C-IAM-MFA
บังคับ Multi-Factor Authentication สำหรับบัญชีสำคัญ
มาตรฐานเว็บไซต์ 2568 — Website Security Operation</t>
      </text>
    </comment>
    <comment ref="AL13" authorId="0" shapeId="0">
      <text>
        <t>C-LOG-CENTRAL
รวบรวม Log ไว้ที่ศูนย์กลางที่แก้ไขย้อนหลังไม่ได้
มาตรฐานเว็บไซต์ 2568 — Logging &amp; Monitoring</t>
      </text>
    </comment>
    <comment ref="AM13" authorId="0" shapeId="0">
      <text>
        <t>C-LOG-SIEM
มีระบบเฝ้าระวังและแจ้งเตือนเหตุการณ์ด้านความปลอดภัย (SIEM / Alerting)
มาตรฐานเว็บไซต์ 2568 — Logging &amp; Monitoring</t>
      </text>
    </comment>
    <comment ref="AW13" authorId="0" shapeId="0">
      <text>
        <t>C-OPS-BACKUP
สำรองข้อมูลและ ทดสอบการกู้คืนจริง ไม่ใช่แค่สำรองผ่าน
มาตรฐานเว็บไซต์ 2568 — Website Security Governance</t>
      </text>
    </comment>
    <comment ref="BC13" authorId="0" shapeId="0">
      <text>
        <t>C-WEB-SELF
ประเมินตนเองอย่างน้อยปีละ 1 ครั้ง และรายงานผลต่อผู้บริหาร
มาตรฐานเว็บไซต์ 2568 — Self-Assessment รายปี</t>
      </text>
    </comment>
    <comment ref="U14" authorId="0" shapeId="0">
      <text>
        <t>C-APP-PENTEST
ประเมินช่องโหว่และทดสอบเจาะระบบ (VAPT) ก่อน Go-Live และเป็นระยะ
กรอบมาตรฐานไซเบอร์ 2564 — การประเมินความเสี่ยง</t>
      </text>
    </comment>
    <comment ref="AM14" authorId="0" shapeId="0">
      <text>
        <t>C-LOG-SIEM
มีระบบเฝ้าระวังและแจ้งเตือนเหตุการณ์ด้านความปลอดภัย (SIEM / Alerting)
กรอบมาตรฐานไซเบอร์ 2564 — การเฝ้าระวัง</t>
      </text>
    </comment>
    <comment ref="AP14" authorId="0" shapeId="0">
      <text>
        <t>C-OPS-HARDEN
มี Hardening Baseline และตรวจการตั้งค่าที่ผิดพลาดอย่างสม่ำเสมอ
กรอบมาตรฐานไซเบอร์ 2564 — การควบคุมเชิงเทคนิค</t>
      </text>
    </comment>
    <comment ref="AX14" authorId="0" shapeId="0">
      <text>
        <t>C-OPS-BCP
มีแผนความต่อเนื่องทางธุรกิจและการกู้คืนระบบ พร้อมซ้อมแผนเป็นประจำ
กรอบมาตรฐานไซเบอร์ 2564 — การรับมือและกู้คืน</t>
      </text>
    </comment>
    <comment ref="AE17" authorId="0" shapeId="0">
      <text>
        <t>C-CRY-TLS
ใช้ TLS 1.2 หรือ 1.3 เท่านั้น ห้าม Self-signed Certificate
ประกาศ PDPC มาตรการความปลอดภัย 2565 — การเข้ารหัสข้อมูล</t>
      </text>
    </comment>
    <comment ref="AF17" authorId="0" shapeId="0">
      <text>
        <t>C-CRY-KEY
จัดการกุญแจและ Secret อย่างปลอดภัย พร้อม Key Rotation
ประกาศ PDPC มาตรการความปลอดภัย 2565 — การบริหารกุญแจ</t>
      </text>
    </comment>
    <comment ref="AH17" authorId="0" shapeId="0">
      <text>
        <t>C-IAM-MFA
บังคับ Multi-Factor Authentication สำหรับบัญชีสำคัญ
ประกาศ PDPC มาตรการความปลอดภัย 2565 — การควบคุมการเข้าถึง</t>
      </text>
    </comment>
    <comment ref="AL17" authorId="0" shapeId="0">
      <text>
        <t>C-LOG-CENTRAL
รวบรวม Log ไว้ที่ศูนย์กลางที่แก้ไขย้อนหลังไม่ได้
ประกาศ PDPC มาตรการความปลอดภัย 2565 — การบันทึกการเข้าถึง</t>
      </text>
    </comment>
    <comment ref="AY17" authorId="0" shapeId="0">
      <text>
        <t>C-PRV-MEASURE
มีมาตรการรักษาความมั่นคงปลอดภัยที่เหมาะสมกับข้อมูลส่วนบุคคล
ประกาศ PDPC มาตรการความปลอดภัย 2565 — มาตรการเชิงเทคนิค</t>
      </text>
    </comment>
    <comment ref="AM18" authorId="0" shapeId="0">
      <text>
        <t>C-LOG-SIEM
มีระบบเฝ้าระวังและแจ้งเตือนเหตุการณ์ด้านความปลอดภัย (SIEM / Alerting)
ประกาศ PDPC แจ้งเหตุละเมิด 2565 — การตรวจพบเหตุ</t>
      </text>
    </comment>
    <comment ref="AO18" authorId="0" shapeId="0">
      <text>
        <t>C-LOG-NOTIFY
แจ้งเหตุและยกระดับเหตุการณ์ได้ทันกรอบเวลาที่กฎหมายกำหนด
ประกาศ PDPC แจ้งเหตุละเมิด 2565 — ช่องทางการแจ้งเหตุ</t>
      </text>
    </comment>
    <comment ref="AZ18" authorId="0" shapeId="0">
      <text>
        <t>C-PRV-BREACH
ตรวจจับเหตุละเมิดข้อมูลส่วนบุคคลได้เร็วพอที่จะแจ้งภายในกรอบเวลา
ประกาศ PDPC แจ้งเหตุละเมิด 2565 — การแจ้งภายใน 72 ชั่วโมง</t>
      </text>
    </comment>
    <comment ref="V21" authorId="0" shapeId="0">
      <text>
        <t>C-APP-WAF
ติดตั้ง Web Application Firewall หน้าระบบที่เปิดสู่ภายนอก
มสพร. 11-2566 เว็บไซต์ภาครัฐ 3.0 — มาตรการทางเทคนิค (แนะนำ)</t>
      </text>
    </comment>
    <comment ref="AE21" authorId="0" shapeId="0">
      <text>
        <t>C-CRY-TLS
ใช้ TLS 1.2 หรือ 1.3 เท่านั้น ห้าม Self-signed Certificate
มสพร. 11-2566 เว็บไซต์ภาครัฐ 3.0 — ความมั่นคงปลอดภัยทางเทคนิค</t>
      </text>
    </comment>
    <comment ref="AW21" authorId="0" shapeId="0">
      <text>
        <t>C-OPS-BACKUP
สำรองข้อมูลและ ทดสอบการกู้คืนจริง ไม่ใช่แค่สำรองผ่าน
มสพร. 11-2566 เว็บไซต์ภาครัฐ 3.0 — แผนสำรองข้อมูล</t>
      </text>
    </comment>
    <comment ref="AY21" authorId="0" shapeId="0">
      <text>
        <t>C-PRV-MEASURE
มีมาตรการรักษาความมั่นคงปลอดภัยที่เหมาะสมกับข้อมูลส่วนบุคคล
มสพร. 11-2566 เว็บไซต์ภาครัฐ 3.0 — การคุ้มครองข้อมูลส่วนบุคคล</t>
      </text>
    </comment>
    <comment ref="BB21" authorId="0" shapeId="0">
      <text>
        <t>C-WEB-A11Y
เว็บไซต์ต้องผ่าน WCAG 2.1 หรือ 2.2 ระดับ AA
มสพร. 11-2566 เว็บไซต์ภาครัฐ 3.0 — Web Accessibility (WCAG AA)</t>
      </text>
    </comment>
    <comment ref="I22" authorId="0" shapeId="0">
      <text>
        <t>C-SDLC-TRACE
Pipeline ทำงานอัตโนมัติและตรวจสอบย้อนหลังได้ 100% (Traceability)
มาตรฐานข้อมูลเปิดภาครัฐ — ที่มาของข้อมูล (Provenance)</t>
      </text>
    </comment>
    <comment ref="AN22" authorId="0" shapeId="0">
      <text>
        <t>C-LOG-AUDIT
บันทึก Audit Trail ว่าใครทำอะไรเมื่อไหร่ และเก็บตามอายุที่กฎหมายกำหนด
มาตรฐานข้อมูลเปิดภาครัฐ — ธรรมาภิบาลข้อมูล</t>
      </text>
    </comment>
    <comment ref="J25" authorId="0" shapeId="0">
      <text>
        <t>C-SDLC-SAST
สแกนหาช่องโหว่ในซอร์สโค้ดแบบ Static (SAST) ทุกรอบ
ขมธอ. ความมั่นคงปลอดภัยสารสนเทศ — การพัฒนาซอฟต์แวร์อย่างปลอดภัย</t>
      </text>
    </comment>
    <comment ref="AE25" authorId="0" shapeId="0">
      <text>
        <t>C-CRY-TLS
ใช้ TLS 1.2 หรือ 1.3 เท่านั้น ห้าม Self-signed Certificate
ขมธอ. ความมั่นคงปลอดภัยสารสนเทศ — การเข้ารหัสข้อมูล</t>
      </text>
    </comment>
    <comment ref="AI25" authorId="0" shapeId="0">
      <text>
        <t>C-IAM-LEAST
ให้สิทธิ์เท่าที่จำเป็น (Least Privilege) และตรวจสิทธิ์ทุกการเรียกใช้
ขมธอ. ความมั่นคงปลอดภัยสารสนเทศ — การควบคุมการเข้าถึง</t>
      </text>
    </comment>
    <comment ref="AL25" authorId="0" shapeId="0">
      <text>
        <t>C-LOG-CENTRAL
รวบรวม Log ไว้ที่ศูนย์กลางที่แก้ไขย้อนหลังไม่ได้
ขมธอ. ความมั่นคงปลอดภัยสารสนเทศ — การบันทึกเหตุการณ์</t>
      </text>
    </comment>
    <comment ref="AP25" authorId="0" shapeId="0">
      <text>
        <t>C-OPS-HARDEN
มี Hardening Baseline และตรวจการตั้งค่าที่ผิดพลาดอย่างสม่ำเสมอ
ขมธอ. ความมั่นคงปลอดภัยสารสนเทศ — การตั้งค่าอย่างปลอดภัย</t>
      </text>
    </comment>
    <comment ref="AF26" authorId="0" shapeId="0">
      <text>
        <t>C-CRY-KEY
จัดการกุญแจและ Secret อย่างปลอดภัย พร้อม Key Rotation
ขมธอ. การใช้บริการคลาวด์ — การจัดการกุญแจของผู้ใช้บริการ</t>
      </text>
    </comment>
    <comment ref="AI26" authorId="0" shapeId="0">
      <text>
        <t>C-IAM-LEAST
ให้สิทธิ์เท่าที่จำเป็น (Least Privilege) และตรวจสิทธิ์ทุกการเรียกใช้
ขมธอ. การใช้บริการคลาวด์ — การควบคุมการเข้าถึง</t>
      </text>
    </comment>
    <comment ref="AR26" authorId="0" shapeId="0">
      <text>
        <t>C-OPS-CSPM
ตรวจสถานะความปลอดภัยของโครงสร้างพื้นฐาน / คลาวด์เป็นระยะ
ขมธอ. การใช้บริการคลาวด์ — การควบคุมผู้ให้บริการ</t>
      </text>
    </comment>
    <comment ref="AW26" authorId="0" shapeId="0">
      <text>
        <t>C-OPS-BACKUP
สำรองข้อมูลและ ทดสอบการกู้คืนจริง ไม่ใช่แค่สำรองผ่าน
ขมธอ. การใช้บริการคลาวด์ — การสำรองและย้ายข้อมูล</t>
      </text>
    </comment>
    <comment ref="Z27" authorId="0" shapeId="0">
      <text>
        <t>C-SC-SIGN
ลงนามดิจิทัลบน artifact และ Verify ลายเซ็นก่อน Deploy ทุกครั้ง
ขมธอ. ลายมือชื่อ/เอกสารอิเล็กทรอนิกส์ — ความครบถ้วนและการลงลายมือชื่อ</t>
      </text>
    </comment>
    <comment ref="AF27" authorId="0" shapeId="0">
      <text>
        <t>C-CRY-KEY
จัดการกุญแจและ Secret อย่างปลอดภัย พร้อม Key Rotation
ขมธอ. ลายมือชื่อ/เอกสารอิเล็กทรอนิกส์ — การจัดการกุญแจ</t>
      </text>
    </comment>
    <comment ref="AN27" authorId="0" shapeId="0">
      <text>
        <t>C-LOG-AUDIT
บันทึก Audit Trail ว่าใครทำอะไรเมื่อไหร่ และเก็บตามอายุที่กฎหมายกำหนด
ขมธอ. ลายมือชื่อ/เอกสารอิเล็กทรอนิกส์ — การเก็บหลักฐาน</t>
      </text>
    </comment>
    <comment ref="AN30" authorId="0" shapeId="0">
      <text>
        <t>C-LOG-AUDIT
บันทึก Audit Trail ว่าใครทำอะไรเมื่อไหร่ และเก็บตามอายุที่กฎหมายกำหนด
ITA (ป.ป.ช.) — การเปิดเผยข้อมูลและตรวจสอบได้</t>
      </text>
    </comment>
    <comment ref="BC30" authorId="0" shapeId="0">
      <text>
        <t>C-WEB-SELF
ประเมินตนเองอย่างน้อยปีละ 1 ครั้ง และรายงานผลต่อผู้บริหาร
ITA (ป.ป.ช.) — การประเมินตนเองรายปี</t>
      </text>
    </comment>
    <comment ref="H33" authorId="0" shapeId="0">
      <text>
        <t>C-SDLC-REVIEW
โค้ดต้องผ่าน Code Review และ Status Check ก่อน Merge เข้า main
ISO/IEC 27001:2022 — A.8.25, A.8.28</t>
      </text>
    </comment>
    <comment ref="M33" authorId="0" shapeId="0">
      <text>
        <t>C-SDLC-TEST
ต้องมี Unit Test และ Integration Test ก่อนขึ้นระบบ
ISO/IEC 27001:2022 — A.8.29</t>
      </text>
    </comment>
    <comment ref="N33" authorId="0" shapeId="0">
      <text>
        <t>C-SDLC-THREAT
ทำ Threat Modeling และ Security Architecture Review ตั้งแต่ออกแบบ
ISO/IEC 27001:2022 — A.8.27</t>
      </text>
    </comment>
    <comment ref="U33" authorId="0" shapeId="0">
      <text>
        <t>C-APP-PENTEST
ประเมินช่องโหว่และทดสอบเจาะระบบ (VAPT) ก่อน Go-Live และเป็นระยะ
ISO/IEC 27001:2022 — A.8.8</t>
      </text>
    </comment>
    <comment ref="Y33" authorId="0" shapeId="0">
      <text>
        <t>C-SC-LICENSE
ตรวจลิขสิทธิ์ของ Open Source ให้สอดคล้องนโยบายองค์กร
ISO/IEC 27001:2022 — A.5.32</t>
      </text>
    </comment>
    <comment ref="AF33" authorId="0" shapeId="0">
      <text>
        <t>C-CRY-KEY
จัดการกุญแจและ Secret อย่างปลอดภัย พร้อม Key Rotation
ISO/IEC 27001:2022 — A.8.24</t>
      </text>
    </comment>
    <comment ref="AI33" authorId="0" shapeId="0">
      <text>
        <t>C-IAM-LEAST
ให้สิทธิ์เท่าที่จำเป็น (Least Privilege) และตรวจสิทธิ์ทุกการเรียกใช้
ISO/IEC 27001:2022 — A.5.15, A.8.2</t>
      </text>
    </comment>
    <comment ref="AL33" authorId="0" shapeId="0">
      <text>
        <t>C-LOG-CENTRAL
รวบรวม Log ไว้ที่ศูนย์กลางที่แก้ไขย้อนหลังไม่ได้
ISO/IEC 27001:2022 — A.8.15</t>
      </text>
    </comment>
    <comment ref="AN33" authorId="0" shapeId="0">
      <text>
        <t>C-LOG-AUDIT
บันทึก Audit Trail ว่าใครทำอะไรเมื่อไหร่ และเก็บตามอายุที่กฎหมายกำหนด
ISO/IEC 27001:2022 — A.8.15</t>
      </text>
    </comment>
    <comment ref="AP33" authorId="0" shapeId="0">
      <text>
        <t>C-OPS-HARDEN
มี Hardening Baseline และตรวจการตั้งค่าที่ผิดพลาดอย่างสม่ำเสมอ
ISO/IEC 27001:2022 — A.8.9</t>
      </text>
    </comment>
    <comment ref="AU33" authorId="0" shapeId="0">
      <text>
        <t>C-OPS-PERF
ทดสอบประสิทธิภาพเทียบ SLA ก่อน Go-Live
ISO/IEC 27001:2022 — A.8.6</t>
      </text>
    </comment>
    <comment ref="AW33" authorId="0" shapeId="0">
      <text>
        <t>C-OPS-BACKUP
สำรองข้อมูลและ ทดสอบการกู้คืนจริง ไม่ใช่แค่สำรองผ่าน
ISO/IEC 27001:2022 — A.8.13</t>
      </text>
    </comment>
    <comment ref="J34" authorId="0" shapeId="0">
      <text>
        <t>C-SDLC-SAST
สแกนหาช่องโหว่ในซอร์สโค้ดแบบ Static (SAST) ทุกรอบ
ISO/IEC 27002:2022 — 8.28</t>
      </text>
    </comment>
    <comment ref="K34" authorId="0" shapeId="0">
      <text>
        <t>C-SDLC-SECRET
ห้าม Credential / Secret หลุดไปกับซอร์สโค้ดหรือ Log
ISO/IEC 27002:2022 — 8.24</t>
      </text>
    </comment>
    <comment ref="X34" authorId="0" shapeId="0">
      <text>
        <t>C-SC-SCA
ตรวจ Dependency เทียบฐานข้อมูลช่องโหว่ (CVE) ทุกรอบ
ISO/IEC 27002:2022 — 8.8</t>
      </text>
    </comment>
    <comment ref="AL34" authorId="0" shapeId="0">
      <text>
        <t>C-LOG-CENTRAL
รวบรวม Log ไว้ที่ศูนย์กลางที่แก้ไขย้อนหลังไม่ได้
ISO/IEC 27002:2022 — 8.15</t>
      </text>
    </comment>
    <comment ref="AP34" authorId="0" shapeId="0">
      <text>
        <t>C-OPS-HARDEN
มี Hardening Baseline และตรวจการตั้งค่าที่ผิดพลาดอย่างสม่ำเสมอ
ISO/IEC 27002:2022 — 8.9</t>
      </text>
    </comment>
    <comment ref="AF35" authorId="0" shapeId="0">
      <text>
        <t>C-CRY-KEY
จัดการกุญแจและ Secret อย่างปลอดภัย พร้อม Key Rotation
ISO/IEC 27017 — CLD.10</t>
      </text>
    </comment>
    <comment ref="AI35" authorId="0" shapeId="0">
      <text>
        <t>C-IAM-LEAST
ให้สิทธิ์เท่าที่จำเป็น (Least Privilege) และตรวจสิทธิ์ทุกการเรียกใช้
ISO/IEC 27017 — CLD.9.5</t>
      </text>
    </comment>
    <comment ref="AL35" authorId="0" shapeId="0">
      <text>
        <t>C-LOG-CENTRAL
รวบรวม Log ไว้ที่ศูนย์กลางที่แก้ไขย้อนหลังไม่ได้
ISO/IEC 27017 — CLD.12.4</t>
      </text>
    </comment>
    <comment ref="AR35" authorId="0" shapeId="0">
      <text>
        <t>C-OPS-CSPM
ตรวจสถานะความปลอดภัยของโครงสร้างพื้นฐาน / คลาวด์เป็นระยะ
ISO/IEC 27017 — CLD.9</t>
      </text>
    </comment>
    <comment ref="AN36" authorId="0" shapeId="0">
      <text>
        <t>C-LOG-AUDIT
บันทึก Audit Trail ว่าใครทำอะไรเมื่อไหร่ และเก็บตามอายุที่กฎหมายกำหนด
ISO/IEC 27018 — A.12</t>
      </text>
    </comment>
    <comment ref="AY36" authorId="0" shapeId="0">
      <text>
        <t>C-PRV-MEASURE
มีมาตรการรักษาความมั่นคงปลอดภัยที่เหมาะสมกับข้อมูลส่วนบุคคล
ISO/IEC 27018 — A.11</t>
      </text>
    </comment>
    <comment ref="BA36" authorId="0" shapeId="0">
      <text>
        <t>C-PRV-MINIMIZE
ไม่ให้ข้อมูลส่วนบุคคลรั่วไหลไปกับ Log, Artifact หรือชุดข้อมูลทดสอบ
ISO/IEC 27018 — A.10</t>
      </text>
    </comment>
    <comment ref="AN37" authorId="0" shapeId="0">
      <text>
        <t>C-LOG-AUDIT
บันทึก Audit Trail ว่าใครทำอะไรเมื่อไหร่ และเก็บตามอายุที่กฎหมายกำหนด
ISO/IEC 27701 — A.7.2</t>
      </text>
    </comment>
    <comment ref="AY37" authorId="0" shapeId="0">
      <text>
        <t>C-PRV-MEASURE
มีมาตรการรักษาความมั่นคงปลอดภัยที่เหมาะสมกับข้อมูลส่วนบุคคล
ISO/IEC 27701 — 6.x</t>
      </text>
    </comment>
    <comment ref="AZ37" authorId="0" shapeId="0">
      <text>
        <t>C-PRV-BREACH
ตรวจจับเหตุละเมิดข้อมูลส่วนบุคคลได้เร็วพอที่จะแจ้งภายในกรอบเวลา
ISO/IEC 27701 — A.7.3</t>
      </text>
    </comment>
    <comment ref="BA37" authorId="0" shapeId="0">
      <text>
        <t>C-PRV-MINIMIZE
ไม่ให้ข้อมูลส่วนบุคคลรั่วไหลไปกับ Log, Artifact หรือชุดข้อมูลทดสอบ
ISO/IEC 27701 — A.7.4</t>
      </text>
    </comment>
    <comment ref="AY38" authorId="0" shapeId="0">
      <text>
        <t>C-PRV-MEASURE
มีมาตรการรักษาความมั่นคงปลอดภัยที่เหมาะสมกับข้อมูลส่วนบุคคล
ISO/IEC 29100 — Information security</t>
      </text>
    </comment>
    <comment ref="BA38" authorId="0" shapeId="0">
      <text>
        <t>C-PRV-MINIMIZE
ไม่ให้ข้อมูลส่วนบุคคลรั่วไหลไปกับ Log, Artifact หรือชุดข้อมูลทดสอบ
ISO/IEC 29100 — Data minimization</t>
      </text>
    </comment>
    <comment ref="J39" authorId="0" shapeId="0">
      <text>
        <t>C-SDLC-SAST
สแกนหาช่องโหว่ในซอร์สโค้ดแบบ Static (SAST) ทุกรอบ
ISO/IEC 27034 — ASC</t>
      </text>
    </comment>
    <comment ref="M39" authorId="0" shapeId="0">
      <text>
        <t>C-SDLC-TEST
ต้องมี Unit Test และ Integration Test ก่อนขึ้นระบบ
ISO/IEC 27034 — Verification</t>
      </text>
    </comment>
    <comment ref="N39" authorId="0" shapeId="0">
      <text>
        <t>C-SDLC-THREAT
ทำ Threat Modeling และ Security Architecture Review ตั้งแต่ออกแบบ
ISO/IEC 27034 — Application Security Life Cycle</t>
      </text>
    </comment>
    <comment ref="S39" authorId="0" shapeId="0">
      <text>
        <t>C-APP-DAST
ทดสอบความปลอดภัยกับระบบที่รันอยู่จริง (DAST)
ISO/IEC 27034 — Verification</t>
      </text>
    </comment>
    <comment ref="L40" authorId="0" shapeId="0">
      <text>
        <t>C-SDLC-QUALITY
วัดคุณภาพโค้ดและ Test Coverage ตามเกณฑ์ที่กำหนด
ISO/IEC 25010:2023 — Maintainability</t>
      </text>
    </comment>
    <comment ref="M40" authorId="0" shapeId="0">
      <text>
        <t>C-SDLC-TEST
ต้องมี Unit Test และ Integration Test ก่อนขึ้นระบบ
ISO/IEC 25010:2023 — Functional Suitability</t>
      </text>
    </comment>
    <comment ref="AU40" authorId="0" shapeId="0">
      <text>
        <t>C-OPS-PERF
ทดสอบประสิทธิภาพเทียบ SLA ก่อน Go-Live
ISO/IEC 25010:2023 — Performance Efficiency</t>
      </text>
    </comment>
    <comment ref="AN41" authorId="0" shapeId="0">
      <text>
        <t>C-LOG-AUDIT
บันทึก Audit Trail ว่าใครทำอะไรเมื่อไหร่ และเก็บตามอายุที่กฎหมายกำหนด
ISO/IEC 42001:2023 — A.5 Records</t>
      </text>
    </comment>
    <comment ref="BD41" authorId="0" shapeId="0">
      <text>
        <t>C-AI-GOV
กำกับดูแลเวอร์ชันโมเดล ที่มาของข้อมูล และเกณฑ์ผ่านก่อนนำโมเดลขึ้นใช้
ISO/IEC 42001:2023 — A.6 AI system life cycle</t>
      </text>
    </comment>
    <comment ref="BE41" authorId="0" shapeId="0">
      <text>
        <t>C-AI-DRIFT
เฝ้าระวัง Model Drift และ Bias หลังนำขึ้นใช้งาน
ISO/IEC 42001:2023 — A.9 Performance monitoring</t>
      </text>
    </comment>
    <comment ref="AW42" authorId="0" shapeId="0">
      <text>
        <t>C-OPS-BACKUP
สำรองข้อมูลและ ทดสอบการกู้คืนจริง ไม่ใช่แค่สำรองผ่าน
ISO 22301:2019 — 8.4.4</t>
      </text>
    </comment>
    <comment ref="AX42" authorId="0" shapeId="0">
      <text>
        <t>C-OPS-BCP
มีแผนความต่อเนื่องทางธุรกิจและการกู้คืนระบบ พร้อมซ้อมแผนเป็นประจำ
ISO 22301:2019 — 8.4 Business continuity plans</t>
      </text>
    </comment>
    <comment ref="N45" authorId="0" shapeId="0">
      <text>
        <t>C-SDLC-THREAT
ทำ Threat Modeling และ Security Architecture Review ตั้งแต่ออกแบบ
OWASP Top 10:2025 — A06 Insecure Design</t>
      </text>
    </comment>
    <comment ref="O45" authorId="0" shapeId="0">
      <text>
        <t>C-APP-ACCESS
ควบคุมสิทธิ์การเข้าถึงฝั่ง Server ทุก Request (รวมป้องกัน SSRF)
OWASP Top 10:2025 — A01 Broken Access Control (รวม SSRF)</t>
      </text>
    </comment>
    <comment ref="P45" authorId="0" shapeId="0">
      <text>
        <t>C-APP-INJECT
ป้องกัน Injection ทุกรูปแบบ (SQL, Command, XSS)
OWASP Top 10:2025 — A05 Injection</t>
      </text>
    </comment>
    <comment ref="Q45" authorId="0" shapeId="0">
      <text>
        <t>C-APP-AUTHN
Authentication ปลอดภัย: hashing ที่แข็งแรง, session rotation, rate limiting
OWASP Top 10:2025 — A07 Authentication Failures</t>
      </text>
    </comment>
    <comment ref="R45" authorId="0" shapeId="0">
      <text>
        <t>C-APP-ERROR
จัดการข้อผิดพลาดแบบ fail-safe ไม่เปิดเผย stack trace
OWASP Top 10:2025 — A10 Mishandling of Exceptional Conditions</t>
      </text>
    </comment>
    <comment ref="W45" authorId="0" shapeId="0">
      <text>
        <t>C-SC-SBOM
สร้าง SBOM ทุก artifact และเก็บคู่กับ artifact
OWASP Top 10:2025 — A03 Software Supply Chain Failures</t>
      </text>
    </comment>
    <comment ref="X45" authorId="0" shapeId="0">
      <text>
        <t>C-SC-SCA
ตรวจ Dependency เทียบฐานข้อมูลช่องโหว่ (CVE) ทุกรอบ
OWASP Top 10:2025 — A03 Software Supply Chain Failures</t>
      </text>
    </comment>
    <comment ref="Z45" authorId="0" shapeId="0">
      <text>
        <t>C-SC-SIGN
ลงนามดิจิทัลบน artifact และ Verify ลายเซ็นก่อน Deploy ทุกครั้ง
OWASP Top 10:2025 — A08 Software/Data Integrity Failures</t>
      </text>
    </comment>
    <comment ref="AA45" authorId="0" shapeId="0">
      <text>
        <t>C-SC-REGISTRY
ใช้ Private Registry ควบคุมที่มาของ Image และ Package
OWASP Top 10:2025 — A03 Software Supply Chain Failures</t>
      </text>
    </comment>
    <comment ref="AB45" authorId="0" shapeId="0">
      <text>
        <t>C-SC-PIN
ตรึงเวอร์ชัน Dependency และทำให้ Build ซ้ำได้ (Reproducible)
OWASP Top 10:2025 — A08 Software/Data Integrity Failures</t>
      </text>
    </comment>
    <comment ref="AD45" authorId="0" shapeId="0">
      <text>
        <t>C-SC-CONTAINER
สแกนช่องโหว่ของ Container Image ทุก Layer ก่อน Deploy
OWASP Top 10:2025 — A02/A03 Container image vulnerabilities</t>
      </text>
    </comment>
    <comment ref="AE45" authorId="0" shapeId="0">
      <text>
        <t>C-CRY-TLS
ใช้ TLS 1.2 หรือ 1.3 เท่านั้น ห้าม Self-signed Certificate
OWASP Top 10:2025 — A04 Cryptographic Failures</t>
      </text>
    </comment>
    <comment ref="AF45" authorId="0" shapeId="0">
      <text>
        <t>C-CRY-KEY
จัดการกุญแจและ Secret อย่างปลอดภัย พร้อม Key Rotation
OWASP Top 10:2025 — A04 Cryptographic Failures</t>
      </text>
    </comment>
    <comment ref="AG45" authorId="0" shapeId="0">
      <text>
        <t>C-CRY-PQC
ทำ Crypto Inventory (CBOM) และออกแบบให้เปลี่ยนอัลกอริทึมได้ (Crypto-Agility)
OWASP Top 10:2025 — Post-Quantum Threat &amp; Crypto-Agility</t>
      </text>
    </comment>
    <comment ref="AL45" authorId="0" shapeId="0">
      <text>
        <t>C-LOG-CENTRAL
รวบรวม Log ไว้ที่ศูนย์กลางที่แก้ไขย้อนหลังไม่ได้
OWASP Top 10:2025 — A09 Logging &amp; Alerting Failures</t>
      </text>
    </comment>
    <comment ref="AM45" authorId="0" shapeId="0">
      <text>
        <t>C-LOG-SIEM
มีระบบเฝ้าระวังและแจ้งเตือนเหตุการณ์ด้านความปลอดภัย (SIEM / Alerting)
OWASP Top 10:2025 — A09 Logging &amp; Alerting Failures</t>
      </text>
    </comment>
    <comment ref="AP45" authorId="0" shapeId="0">
      <text>
        <t>C-OPS-HARDEN
มี Hardening Baseline และตรวจการตั้งค่าที่ผิดพลาดอย่างสม่ำเสมอ
OWASP Top 10:2025 — A02 Security Misconfiguration</t>
      </text>
    </comment>
    <comment ref="AQ45" authorId="0" shapeId="0">
      <text>
        <t>C-OPS-IAC
ตรวจไฟล์ Infrastructure as Code และบังคับ Policy-as-Code ก่อนใช้งาน
OWASP Top 10:2025 — A02 Security Misconfiguration</t>
      </text>
    </comment>
    <comment ref="O46" authorId="0" shapeId="0">
      <text>
        <t>C-APP-ACCESS
ควบคุมสิทธิ์การเข้าถึงฝั่ง Server ทุก Request (รวมป้องกัน SSRF)
OWASP ASVS 5.0 — V4 Access Control</t>
      </text>
    </comment>
    <comment ref="P46" authorId="0" shapeId="0">
      <text>
        <t>C-APP-INJECT
ป้องกัน Injection ทุกรูปแบบ (SQL, Command, XSS)
OWASP ASVS 5.0 — V5 Validation &amp; Encoding</t>
      </text>
    </comment>
    <comment ref="Q46" authorId="0" shapeId="0">
      <text>
        <t>C-APP-AUTHN
Authentication ปลอดภัย: hashing ที่แข็งแรง, session rotation, rate limiting
OWASP ASVS 5.0 — V2 Authentication</t>
      </text>
    </comment>
    <comment ref="R46" authorId="0" shapeId="0">
      <text>
        <t>C-APP-ERROR
จัดการข้อผิดพลาดแบบ fail-safe ไม่เปิดเผย stack trace
OWASP ASVS 5.0 — V7 Error Handling &amp; Logging</t>
      </text>
    </comment>
    <comment ref="AF46" authorId="0" shapeId="0">
      <text>
        <t>C-CRY-KEY
จัดการกุญแจและ Secret อย่างปลอดภัย พร้อม Key Rotation
OWASP ASVS 5.0 — V6 Cryptography</t>
      </text>
    </comment>
    <comment ref="AL46" authorId="0" shapeId="0">
      <text>
        <t>C-LOG-CENTRAL
รวบรวม Log ไว้ที่ศูนย์กลางที่แก้ไขย้อนหลังไม่ได้
OWASP ASVS 5.0 — V7 Error Handling &amp; Logging</t>
      </text>
    </comment>
    <comment ref="O47" authorId="0" shapeId="0">
      <text>
        <t>C-APP-ACCESS
ควบคุมสิทธิ์การเข้าถึงฝั่ง Server ทุก Request (รวมป้องกัน SSRF)
OWASP API Top 10:2023 — API1 BOLA / API3 BOPLA</t>
      </text>
    </comment>
    <comment ref="Q47" authorId="0" shapeId="0">
      <text>
        <t>C-APP-AUTHN
Authentication ปลอดภัย: hashing ที่แข็งแรง, session rotation, rate limiting
OWASP API Top 10:2023 — API2 Broken Authentication</t>
      </text>
    </comment>
    <comment ref="T47" authorId="0" shapeId="0">
      <text>
        <t>C-APP-API
ทดสอบความปลอดภัยของ API (Authn, RBAC, Input Validation, Fuzzing)
OWASP API Top 10:2023 — API1-API10</t>
      </text>
    </comment>
    <comment ref="H48" authorId="0" shapeId="0">
      <text>
        <t>C-SDLC-REVIEW
โค้ดต้องผ่าน Code Review และ Status Check ก่อน Merge เข้า main
OWASP SAMM 2 — Implementation — Secure Build</t>
      </text>
    </comment>
    <comment ref="J48" authorId="0" shapeId="0">
      <text>
        <t>C-SDLC-SAST
สแกนหาช่องโหว่ในซอร์สโค้ดแบบ Static (SAST) ทุกรอบ
OWASP SAMM 2 — Verification — Security Testing</t>
      </text>
    </comment>
    <comment ref="N48" authorId="0" shapeId="0">
      <text>
        <t>C-SDLC-THREAT
ทำ Threat Modeling และ Security Architecture Review ตั้งแต่ออกแบบ
OWASP SAMM 2 — Design — Threat Assessment</t>
      </text>
    </comment>
    <comment ref="S48" authorId="0" shapeId="0">
      <text>
        <t>C-APP-DAST
ทดสอบความปลอดภัยกับระบบที่รันอยู่จริง (DAST)
OWASP SAMM 2 — Verification — Security Testing</t>
      </text>
    </comment>
    <comment ref="Q49" authorId="0" shapeId="0">
      <text>
        <t>C-APP-AUTHN
Authentication ปลอดภัย: hashing ที่แข็งแรง, session rotation, rate limiting
OWASP MASVS — MASVS-AUTH</t>
      </text>
    </comment>
    <comment ref="R49" authorId="0" shapeId="0">
      <text>
        <t>C-APP-ERROR
จัดการข้อผิดพลาดแบบ fail-safe ไม่เปิดเผย stack trace
OWASP MASVS — MASVS-CODE</t>
      </text>
    </comment>
    <comment ref="AF49" authorId="0" shapeId="0">
      <text>
        <t>C-CRY-KEY
จัดการกุญแจและ Secret อย่างปลอดภัย พร้อม Key Rotation
OWASP MASVS — MASVS-CRYPTO</t>
      </text>
    </comment>
    <comment ref="H52" authorId="0" shapeId="0">
      <text>
        <t>C-SDLC-REVIEW
โค้ดต้องผ่าน Code Review และ Status Check ก่อน Merge เข้า main
NIST SSDF (SP 800-218) — PW.7 Review Human-Readable Code</t>
      </text>
    </comment>
    <comment ref="I52" authorId="0" shapeId="0">
      <text>
        <t>C-SDLC-TRACE
Pipeline ทำงานอัตโนมัติและตรวจสอบย้อนหลังได้ 100% (Traceability)
NIST SSDF (SP 800-218) — PO.3 Implement Supporting Toolchains</t>
      </text>
    </comment>
    <comment ref="J52" authorId="0" shapeId="0">
      <text>
        <t>C-SDLC-SAST
สแกนหาช่องโหว่ในซอร์สโค้ดแบบ Static (SAST) ทุกรอบ
NIST SSDF (SP 800-218) — PW.8 Test Executable Code</t>
      </text>
    </comment>
    <comment ref="M52" authorId="0" shapeId="0">
      <text>
        <t>C-SDLC-TEST
ต้องมี Unit Test และ Integration Test ก่อนขึ้นระบบ
NIST SSDF (SP 800-218) — PW.8 Test Executable Code</t>
      </text>
    </comment>
    <comment ref="W52" authorId="0" shapeId="0">
      <text>
        <t>C-SC-SBOM
สร้าง SBOM ทุก artifact และเก็บคู่กับ artifact
NIST SSDF (SP 800-218) — PS.3 Archive and Protect Each Release</t>
      </text>
    </comment>
    <comment ref="Z52" authorId="0" shapeId="0">
      <text>
        <t>C-SC-SIGN
ลงนามดิจิทัลบน artifact และ Verify ลายเซ็นก่อน Deploy ทุกครั้ง
NIST SSDF (SP 800-218) — PS.2 Provide a Mechanism for Verifying Integrity</t>
      </text>
    </comment>
    <comment ref="AB52" authorId="0" shapeId="0">
      <text>
        <t>C-SC-PIN
ตรึงเวอร์ชัน Dependency และทำให้ Build ซ้ำได้ (Reproducible)
NIST SSDF (SP 800-218) — PW.4 Reuse Existing Software Securely</t>
      </text>
    </comment>
    <comment ref="W53" authorId="0" shapeId="0">
      <text>
        <t>C-SC-SBOM
สร้าง SBOM ทุก artifact และเก็บคู่กับ artifact
NIST SP 800-161r1 — SR-4 Provenance</t>
      </text>
    </comment>
    <comment ref="X53" authorId="0" shapeId="0">
      <text>
        <t>C-SC-SCA
ตรวจ Dependency เทียบฐานข้อมูลช่องโหว่ (CVE) ทุกรอบ
NIST SP 800-161r1 — SR-3</t>
      </text>
    </comment>
    <comment ref="Y53" authorId="0" shapeId="0">
      <text>
        <t>C-SC-LICENSE
ตรวจลิขสิทธิ์ของ Open Source ให้สอดคล้องนโยบายองค์กร
NIST SP 800-161r1 — SR-5</t>
      </text>
    </comment>
    <comment ref="Z53" authorId="0" shapeId="0">
      <text>
        <t>C-SC-SIGN
ลงนามดิจิทัลบน artifact และ Verify ลายเซ็นก่อน Deploy ทุกครั้ง
NIST SP 800-161r1 — SR-4(3)</t>
      </text>
    </comment>
    <comment ref="AA53" authorId="0" shapeId="0">
      <text>
        <t>C-SC-REGISTRY
ใช้ Private Registry ควบคุมที่มาของ Image และ Package
NIST SP 800-161r1 — SR-11</t>
      </text>
    </comment>
    <comment ref="AH54" authorId="0" shapeId="0">
      <text>
        <t>C-IAM-MFA
บังคับ Multi-Factor Authentication สำหรับบัญชีสำคัญ
NIST SP 800-207 — Policy Enforcement Point</t>
      </text>
    </comment>
    <comment ref="AI54" authorId="0" shapeId="0">
      <text>
        <t>C-IAM-LEAST
ให้สิทธิ์เท่าที่จำเป็น (Least Privilege) และตรวจสิทธิ์ทุกการเรียกใช้
NIST SP 800-207 — Tenet 1-7</t>
      </text>
    </comment>
    <comment ref="AM54" authorId="0" shapeId="0">
      <text>
        <t>C-LOG-SIEM
มีระบบเฝ้าระวังและแจ้งเตือนเหตุการณ์ด้านความปลอดภัย (SIEM / Alerting)
NIST SP 800-207 — Continuous Monitoring</t>
      </text>
    </comment>
    <comment ref="AS54" authorId="0" shapeId="0">
      <text>
        <t>C-OPS-RUNTIME
เฝ้าระวังพฤติกรรมผิดปกติของ Container ตอนรันจริง (Runtime Security)
NIST SP 800-207 — Continuous Diagnostics</t>
      </text>
    </comment>
    <comment ref="Q55" authorId="0" shapeId="0">
      <text>
        <t>C-APP-AUTHN
Authentication ปลอดภัย: hashing ที่แข็งแรง, session rotation, rate limiting
NIST SP 800-63B — 5.1 Authenticator Requirements</t>
      </text>
    </comment>
    <comment ref="AH55" authorId="0" shapeId="0">
      <text>
        <t>C-IAM-MFA
บังคับ Multi-Factor Authentication สำหรับบัญชีสำคัญ
NIST SP 800-63B — AAL2-AAL3</t>
      </text>
    </comment>
    <comment ref="AM56" authorId="0" shapeId="0">
      <text>
        <t>C-LOG-SIEM
มีระบบเฝ้าระวังและแจ้งเตือนเหตุการณ์ด้านความปลอดภัย (SIEM / Alerting)
NIST CSF 2.0 — DE.AE</t>
      </text>
    </comment>
    <comment ref="AO56" authorId="0" shapeId="0">
      <text>
        <t>C-LOG-NOTIFY
แจ้งเหตุและยกระดับเหตุการณ์ได้ทันกรอบเวลาที่กฎหมายกำหนด
NIST CSF 2.0 — RS.CO</t>
      </text>
    </comment>
    <comment ref="AP56" authorId="0" shapeId="0">
      <text>
        <t>C-OPS-HARDEN
มี Hardening Baseline และตรวจการตั้งค่าที่ผิดพลาดอย่างสม่ำเสมอ
NIST CSF 2.0 — PR.PS</t>
      </text>
    </comment>
    <comment ref="AT56" authorId="0" shapeId="0">
      <text>
        <t>C-OPS-MONITOR
มีระบบ Observability เก็บ Metrics / Logs / Traces และตั้ง Alert
NIST CSF 2.0 — DE.CM</t>
      </text>
    </comment>
    <comment ref="AX56" authorId="0" shapeId="0">
      <text>
        <t>C-OPS-BCP
มีแผนความต่อเนื่องทางธุรกิจและการกู้คืนระบบ พร้อมซ้อมแผนเป็นประจำ
NIST CSF 2.0 — RC.RP</t>
      </text>
    </comment>
    <comment ref="J57" authorId="0" shapeId="0">
      <text>
        <t>C-SDLC-SAST
สแกนหาช่องโหว่ในซอร์สโค้ดแบบ Static (SAST) ทุกรอบ
NIST SP 800-53r5 — SA-11</t>
      </text>
    </comment>
    <comment ref="U57" authorId="0" shapeId="0">
      <text>
        <t>C-APP-PENTEST
ประเมินช่องโหว่และทดสอบเจาะระบบ (VAPT) ก่อน Go-Live และเป็นระยะ
NIST SP 800-53r5 — CA-8</t>
      </text>
    </comment>
    <comment ref="AI57" authorId="0" shapeId="0">
      <text>
        <t>C-IAM-LEAST
ให้สิทธิ์เท่าที่จำเป็น (Least Privilege) และตรวจสิทธิ์ทุกการเรียกใช้
NIST SP 800-53r5 — AC-6</t>
      </text>
    </comment>
    <comment ref="AN57" authorId="0" shapeId="0">
      <text>
        <t>C-LOG-AUDIT
บันทึก Audit Trail ว่าใครทำอะไรเมื่อไหร่ และเก็บตามอายุที่กฎหมายกำหนด
NIST SP 800-53r5 — AU-2, AU-12</t>
      </text>
    </comment>
    <comment ref="AP57" authorId="0" shapeId="0">
      <text>
        <t>C-OPS-HARDEN
มี Hardening Baseline และตรวจการตั้งค่าที่ผิดพลาดอย่างสม่ำเสมอ
NIST SP 800-53r5 — CM-6</t>
      </text>
    </comment>
    <comment ref="AW57" authorId="0" shapeId="0">
      <text>
        <t>C-OPS-BACKUP
สำรองข้อมูลและ ทดสอบการกู้คืนจริง ไม่ใช่แค่สำรองผ่าน
NIST SP 800-53r5 — CP-9</t>
      </text>
    </comment>
    <comment ref="AE58" authorId="0" shapeId="0">
      <text>
        <t>C-CRY-TLS
ใช้ TLS 1.2 หรือ 1.3 เท่านั้น ห้าม Self-signed Certificate
NIST PQC Migration — Protocol Migration</t>
      </text>
    </comment>
    <comment ref="AG58" authorId="0" shapeId="0">
      <text>
        <t>C-CRY-PQC
ทำ Crypto Inventory (CBOM) และออกแบบให้เปลี่ยนอัลกอริทึมได้ (Crypto-Agility)
NIST PQC Migration — Crypto Discovery &amp; Inventory</t>
      </text>
    </comment>
    <comment ref="J61" authorId="0" shapeId="0">
      <text>
        <t>C-SDLC-SAST
สแกนหาช่องโหว่ในซอร์สโค้ดแบบ Static (SAST) ทุกรอบ
CIS Controls v8.1 — Control 16 Application Software Security</t>
      </text>
    </comment>
    <comment ref="U61" authorId="0" shapeId="0">
      <text>
        <t>C-APP-PENTEST
ประเมินช่องโหว่และทดสอบเจาะระบบ (VAPT) ก่อน Go-Live และเป็นระยะ
CIS Controls v8.1 — Control 18 Penetration Testing</t>
      </text>
    </comment>
    <comment ref="X61" authorId="0" shapeId="0">
      <text>
        <t>C-SC-SCA
ตรวจ Dependency เทียบฐานข้อมูลช่องโหว่ (CVE) ทุกรอบ
CIS Controls v8.1 — Control 7 Continuous Vulnerability Management</t>
      </text>
    </comment>
    <comment ref="AH61" authorId="0" shapeId="0">
      <text>
        <t>C-IAM-MFA
บังคับ Multi-Factor Authentication สำหรับบัญชีสำคัญ
CIS Controls v8.1 — Control 6 Access Control Management</t>
      </text>
    </comment>
    <comment ref="AL61" authorId="0" shapeId="0">
      <text>
        <t>C-LOG-CENTRAL
รวบรวม Log ไว้ที่ศูนย์กลางที่แก้ไขย้อนหลังไม่ได้
CIS Controls v8.1 — Control 8 Audit Log Management</t>
      </text>
    </comment>
    <comment ref="AP61" authorId="0" shapeId="0">
      <text>
        <t>C-OPS-HARDEN
มี Hardening Baseline และตรวจการตั้งค่าที่ผิดพลาดอย่างสม่ำเสมอ
CIS Controls v8.1 — Control 4 Secure Configuration</t>
      </text>
    </comment>
    <comment ref="AV61" authorId="0" shapeId="0">
      <text>
        <t>C-OPS-DEPLOY
มีกลยุทธ์การ Deploy ที่ย้อนกลับได้ (Rolling / Blue-Green / Canary)
CIS Controls v8.1 — Control 4.7 Change control</t>
      </text>
    </comment>
    <comment ref="AW61" authorId="0" shapeId="0">
      <text>
        <t>C-OPS-BACKUP
สำรองข้อมูลและ ทดสอบการกู้คืนจริง ไม่ใช่แค่สำรองผ่าน
CIS Controls v8.1 — Control 11 Data Recovery</t>
      </text>
    </comment>
    <comment ref="AC62" authorId="0" shapeId="0">
      <text>
        <t>C-SC-IMG
สร้าง Container Image แบบควบคุมได้ (Rootless / Hermetic Build)
CIS Benchmarks — Image build hardening</t>
      </text>
    </comment>
    <comment ref="AD62" authorId="0" shapeId="0">
      <text>
        <t>C-SC-CONTAINER
สแกนช่องโหว่ของ Container Image ทุก Layer ก่อน Deploy
CIS Benchmarks — Image scanning before deploy</t>
      </text>
    </comment>
    <comment ref="AI62" authorId="0" shapeId="0">
      <text>
        <t>C-IAM-LEAST
ให้สิทธิ์เท่าที่จำเป็น (Least Privilege) และตรวจสิทธิ์ทุกการเรียกใช้
CIS Benchmarks — RBAC</t>
      </text>
    </comment>
    <comment ref="AP62" authorId="0" shapeId="0">
      <text>
        <t>C-OPS-HARDEN
มี Hardening Baseline และตรวจการตั้งค่าที่ผิดพลาดอย่างสม่ำเสมอ
CIS Benchmarks — Benchmark items</t>
      </text>
    </comment>
    <comment ref="AQ62" authorId="0" shapeId="0">
      <text>
        <t>C-OPS-IAC
ตรวจไฟล์ Infrastructure as Code และบังคับ Policy-as-Code ก่อนใช้งาน
CIS Benchmarks — Policy enforcement</t>
      </text>
    </comment>
    <comment ref="AS62" authorId="0" shapeId="0">
      <text>
        <t>C-OPS-RUNTIME
เฝ้าระวังพฤติกรรมผิดปกติของ Container ตอนรันจริง (Runtime Security)
CIS Benchmarks — Runtime policies</t>
      </text>
    </comment>
    <comment ref="I65" authorId="0" shapeId="0">
      <text>
        <t>C-SDLC-TRACE
Pipeline ทำงานอัตโนมัติและตรวจสอบย้อนหลังได้ 100% (Traceability)
SLSA v1.0 — Provenance Available</t>
      </text>
    </comment>
    <comment ref="W65" authorId="0" shapeId="0">
      <text>
        <t>C-SC-SBOM
สร้าง SBOM ทุก artifact และเก็บคู่กับ artifact
SLSA v1.0 — Provenance content</t>
      </text>
    </comment>
    <comment ref="Z65" authorId="0" shapeId="0">
      <text>
        <t>C-SC-SIGN
ลงนามดิจิทัลบน artifact และ Verify ลายเซ็นก่อน Deploy ทุกครั้ง
SLSA v1.0 — Build L2-L3 Signed provenance</t>
      </text>
    </comment>
    <comment ref="AB65" authorId="0" shapeId="0">
      <text>
        <t>C-SC-PIN
ตรึงเวอร์ชัน Dependency และทำให้ Build ซ้ำได้ (Reproducible)
SLSA v1.0 — Dependencies Complete</t>
      </text>
    </comment>
    <comment ref="AC65" authorId="0" shapeId="0">
      <text>
        <t>C-SC-IMG
สร้าง Container Image แบบควบคุมได้ (Rootless / Hermetic Build)
SLSA v1.0 — Build L3 Hermetic / Isolated build</t>
      </text>
    </comment>
    <comment ref="W66" authorId="0" shapeId="0">
      <text>
        <t>C-SC-SBOM
สร้าง SBOM ทุก artifact และเก็บคู่กับ artifact
SPDX / ISO 5962 — SPDX document</t>
      </text>
    </comment>
    <comment ref="Y66" authorId="0" shapeId="0">
      <text>
        <t>C-SC-LICENSE
ตรวจลิขสิทธิ์ของ Open Source ให้สอดคล้องนโยบายองค์กร
SPDX / ISO 5962 — License expression</t>
      </text>
    </comment>
    <comment ref="W67" authorId="0" shapeId="0">
      <text>
        <t>C-SC-SBOM
สร้าง SBOM ทุก artifact และเก็บคู่กับ artifact
CycloneDX / ECMA-424 — BOM</t>
      </text>
    </comment>
    <comment ref="X67" authorId="0" shapeId="0">
      <text>
        <t>C-SC-SCA
ตรวจ Dependency เทียบฐานข้อมูลช่องโหว่ (CVE) ทุกรอบ
CycloneDX / ECMA-424 — VEX</t>
      </text>
    </comment>
    <comment ref="AG67" authorId="0" shapeId="0">
      <text>
        <t>C-CRY-PQC
ทำ Crypto Inventory (CBOM) และออกแบบให้เปลี่ยนอัลกอริทึมได้ (Crypto-Agility)
CycloneDX / ECMA-424 — CBOM</t>
      </text>
    </comment>
    <comment ref="J70" authorId="0" shapeId="0">
      <text>
        <t>C-SDLC-SAST
สแกนหาช่องโหว่ในซอร์สโค้ดแบบ Static (SAST) ทุกรอบ
PCI DSS v4.0 — Req 6.2 Secure development</t>
      </text>
    </comment>
    <comment ref="U70" authorId="0" shapeId="0">
      <text>
        <t>C-APP-PENTEST
ประเมินช่องโหว่และทดสอบเจาะระบบ (VAPT) ก่อน Go-Live และเป็นระยะ
PCI DSS v4.0 — Req 11.4 Penetration testing</t>
      </text>
    </comment>
    <comment ref="V70" authorId="0" shapeId="0">
      <text>
        <t>C-APP-WAF
ติดตั้ง Web Application Firewall หน้าระบบที่เปิดสู่ภายนอก
PCI DSS v4.0 — Req 6.4.2 Automated technical solution</t>
      </text>
    </comment>
    <comment ref="X70" authorId="0" shapeId="0">
      <text>
        <t>C-SC-SCA
ตรวจ Dependency เทียบฐานข้อมูลช่องโหว่ (CVE) ทุกรอบ
PCI DSS v4.0 — Req 6.3 Vulnerability management</t>
      </text>
    </comment>
    <comment ref="AD70" authorId="0" shapeId="0">
      <text>
        <t>C-SC-CONTAINER
สแกนช่องโหว่ของ Container Image ทุก Layer ก่อน Deploy
PCI DSS v4.0 — Req 6.3 Vulnerability management</t>
      </text>
    </comment>
    <comment ref="AE70" authorId="0" shapeId="0">
      <text>
        <t>C-CRY-TLS
ใช้ TLS 1.2 หรือ 1.3 เท่านั้น ห้าม Self-signed Certificate
PCI DSS v4.0 — Req 4 Protect data in transit</t>
      </text>
    </comment>
    <comment ref="AL70" authorId="0" shapeId="0">
      <text>
        <t>C-LOG-CENTRAL
รวบรวม Log ไว้ที่ศูนย์กลางที่แก้ไขย้อนหลังไม่ได้
PCI DSS v4.0 — Req 10 Log and monitor</t>
      </text>
    </comment>
    <comment ref="H71" authorId="0" shapeId="0">
      <text>
        <t>C-SDLC-REVIEW
โค้ดต้องผ่าน Code Review และ Status Check ก่อน Merge เข้า main
SOC 2 (TSC) — CC8 Change Management</t>
      </text>
    </comment>
    <comment ref="AI71" authorId="0" shapeId="0">
      <text>
        <t>C-IAM-LEAST
ให้สิทธิ์เท่าที่จำเป็น (Least Privilege) และตรวจสิทธิ์ทุกการเรียกใช้
SOC 2 (TSC) — CC6 Logical Access</t>
      </text>
    </comment>
    <comment ref="AM71" authorId="0" shapeId="0">
      <text>
        <t>C-LOG-SIEM
มีระบบเฝ้าระวังและแจ้งเตือนเหตุการณ์ด้านความปลอดภัย (SIEM / Alerting)
SOC 2 (TSC) — CC7.2 Monitoring</t>
      </text>
    </comment>
    <comment ref="AN71" authorId="0" shapeId="0">
      <text>
        <t>C-LOG-AUDIT
บันทึก Audit Trail ว่าใครทำอะไรเมื่อไหร่ และเก็บตามอายุที่กฎหมายกำหนด
SOC 2 (TSC) — CC7 System Operations</t>
      </text>
    </comment>
    <comment ref="AV71" authorId="0" shapeId="0">
      <text>
        <t>C-OPS-DEPLOY
มีกลยุทธ์การ Deploy ที่ย้อนกลับได้ (Rolling / Blue-Green / Canary)
SOC 2 (TSC) — CC8.1 Change deployment &amp; rollback</t>
      </text>
    </comment>
    <comment ref="AX71" authorId="0" shapeId="0">
      <text>
        <t>C-OPS-BCP
มีแผนความต่อเนื่องทางธุรกิจและการกู้คืนระบบ พร้อมซ้อมแผนเป็นประจำ
SOC 2 (TSC) — A1.2 Availability</t>
      </text>
    </comment>
    <comment ref="W72" authorId="0" shapeId="0">
      <text>
        <t>C-SC-SBOM
สร้าง SBOM ทุก artifact และเก็บคู่กับ artifact
CSA CCM v4 / STAR — AIS-06</t>
      </text>
    </comment>
    <comment ref="AF72" authorId="0" shapeId="0">
      <text>
        <t>C-CRY-KEY
จัดการกุญแจและ Secret อย่างปลอดภัย พร้อม Key Rotation
CSA CCM v4 / STAR — CEK</t>
      </text>
    </comment>
    <comment ref="AI72" authorId="0" shapeId="0">
      <text>
        <t>C-IAM-LEAST
ให้สิทธิ์เท่าที่จำเป็น (Least Privilege) และตรวจสิทธิ์ทุกการเรียกใช้
CSA CCM v4 / STAR — IAM</t>
      </text>
    </comment>
    <comment ref="AL72" authorId="0" shapeId="0">
      <text>
        <t>C-LOG-CENTRAL
รวบรวม Log ไว้ที่ศูนย์กลางที่แก้ไขย้อนหลังไม่ได้
CSA CCM v4 / STAR — LOG</t>
      </text>
    </comment>
    <comment ref="AR72" authorId="0" shapeId="0">
      <text>
        <t>C-OPS-CSPM
ตรวจสถานะความปลอดภัยของโครงสร้างพื้นฐาน / คลาวด์เป็นระยะ
CSA CCM v4 / STAR — IVS / DCS</t>
      </text>
    </comment>
    <comment ref="BB75" authorId="0" shapeId="0">
      <text>
        <t>C-WEB-A11Y
เว็บไซต์ต้องผ่าน WCAG 2.1 หรือ 2.2 ระดับ AA
WCAG 2.2 AA — Level AA success criteria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10" customWidth="1" min="3" max="3"/>
  </cols>
  <sheetData>
    <row r="2">
      <c r="B2" s="1" t="inlineStr">
        <is>
          <t>CI/CD Resource &amp; Compliance Planner</t>
        </is>
      </c>
    </row>
    <row r="3">
      <c r="B3" s="2" t="inlineStr">
        <is>
          <t>ตารางเครื่องมือ CI/CD ทุกประเภท + การคำนวณทรัพยากรกรณีเครื่องแชร์ + ผลลัพธ์ระยะยาว</t>
        </is>
      </c>
    </row>
    <row r="4">
      <c r="B4" s="3" t="inlineStr">
        <is>
          <t>Schema 1.2.0 — ใช้เป็นแบบฟอร์มกลางสำหรับประเมินโครงการใด ๆ (ไม่มีข้อมูลเฉพาะโครงการอยู่ในไฟล์นี้)</t>
        </is>
      </c>
    </row>
    <row r="6">
      <c r="B6" s="4" t="inlineStr">
        <is>
          <t>ชีทในไฟล์นี้</t>
        </is>
      </c>
      <c r="C6" s="5" t="n"/>
    </row>
    <row r="7" ht="30" customHeight="1">
      <c r="B7" s="6" t="inlineStr">
        <is>
          <t>05_Params</t>
        </is>
      </c>
      <c r="C7" s="7" t="inlineStr">
        <is>
          <t>พารามิเตอร์ทั้งหมดของโมเดล — เปลี่ยนโหมด strict/realistic, Scale Factor, OS Reserve, ช่วงเวลาประเมิน (ช่องสีเหลืองคือช่องที่แก้ได้)</t>
        </is>
      </c>
    </row>
    <row r="8" ht="30" customHeight="1">
      <c r="B8" s="6" t="inlineStr">
        <is>
          <t>01_Tool_Catalog</t>
        </is>
      </c>
      <c r="C8" s="7" t="inlineStr">
        <is>
          <t>ตารางเครื่องมือ 72 รายการ ครบ 6 Stage พร้อม minimum vCPU/RAM/Disk, ที่มาของตัวเลข, มาตรฐานไทย/สากลที่แต่ละเครื่องมือช่วยตอบ, ทางเลือก Enterprise/OSS และข้อควรระวัง</t>
        </is>
      </c>
    </row>
    <row r="9" ht="30" customHeight="1">
      <c r="B9" s="6" t="inlineStr">
        <is>
          <t>02_Freq_Weight</t>
        </is>
      </c>
      <c r="C9" s="7" t="inlineStr">
        <is>
          <t>ชั้นความถี่การรัน 7 ระดับ และการแปลงเป็นน้ำหนัก 50%-95%</t>
        </is>
      </c>
    </row>
    <row r="10" ht="30" customHeight="1">
      <c r="B10" s="6" t="inlineStr">
        <is>
          <t>03_Colocation_Calc</t>
        </is>
      </c>
      <c r="C10" s="7" t="inlineStr">
        <is>
          <t>ตารางกำหนดว่าเครื่องมือใดติดตั้งบน VM ใด (ใส่ 1/0) — เป็นช่องกรอกหลัก</t>
        </is>
      </c>
    </row>
    <row r="11" ht="30" customHeight="1">
      <c r="B11" s="6" t="inlineStr">
        <is>
          <t>04_VM_Sizing</t>
        </is>
      </c>
      <c r="C11" s="7" t="inlineStr">
        <is>
          <t>ผลการคำนวณต่อ VM: เงื่อนไข A / B1 / B2 / C, ค่าที่ต้องจัดสรร, และส่วนต่างกับ spec จริง</t>
        </is>
      </c>
    </row>
    <row r="12" ht="30" customHeight="1">
      <c r="B12" s="6" t="inlineStr">
        <is>
          <t>06_Storage_LongTerm</t>
        </is>
      </c>
      <c r="C12" s="7" t="inlineStr">
        <is>
          <t>ผลลัพธ์ระยะยาวของพื้นที่จัดเก็บที่ 12 / 24 / 36 / 60 เดือน + สิ่งที่ต้องทำเพื่อคุมการโต</t>
        </is>
      </c>
    </row>
    <row r="13" ht="30" customHeight="1">
      <c r="B13" s="6" t="inlineStr">
        <is>
          <t>07_Compliance_Matrix</t>
        </is>
      </c>
      <c r="C13" s="7" t="inlineStr">
        <is>
          <t>มาตรการที่ต้องทำ 50 รายการ พร้อมสถานะผ่าน/ไม่ผ่าน และเลขข้อของมาตรฐานที่อ้างแต่ละมาตรการ</t>
        </is>
      </c>
    </row>
    <row r="14" ht="30" customHeight="1">
      <c r="B14" s="6" t="inlineStr">
        <is>
          <t>08_Tool_Capability</t>
        </is>
      </c>
      <c r="C14" s="7" t="inlineStr">
        <is>
          <t>เมทริกซ์เครื่องมือ x capability (ฐานคำนวณของชีท 07)</t>
        </is>
      </c>
    </row>
    <row r="15" ht="30" customHeight="1">
      <c r="B15" s="6" t="inlineStr">
        <is>
          <t>09_Profile_Comparison</t>
        </is>
      </c>
      <c r="C15" s="7" t="inlineStr">
        <is>
          <t>เปรียบเทียบประเภทโครงการ 5 แบบ</t>
        </is>
      </c>
    </row>
    <row r="16" ht="30" customHeight="1">
      <c r="B16" s="6" t="inlineStr">
        <is>
          <t>10_Archetypes</t>
        </is>
      </c>
      <c r="C16" s="7" t="inlineStr">
        <is>
          <t>ผังเครื่องอ้างอิง 4 แบบ (2 / 4 / 6 เครื่อง และ AI/ML) พร้อมชุดเครื่องมือตามบทบาท — ใช้เป็นจุดตั้งต้นของโครงการใหม่</t>
        </is>
      </c>
    </row>
    <row r="17" ht="30" customHeight="1">
      <c r="B17" s="6" t="inlineStr">
        <is>
          <t>11_Frameworks</t>
        </is>
      </c>
      <c r="C17" s="7" t="inlineStr">
        <is>
          <t>ทะเบียนกฎหมายและมาตรฐาน 48 ฉบับ แยกไทย/สากล พร้อมเมทริกซ์ว่าฉบับใดอ้างมาตรการใด (เลขข้ออยู่ใน comment ของช่อง)</t>
        </is>
      </c>
    </row>
    <row r="19">
      <c r="B19" s="4" t="inlineStr">
        <is>
          <t>วิธีใช้</t>
        </is>
      </c>
      <c r="C19" s="5" t="n"/>
    </row>
    <row r="20" ht="30" customHeight="1">
      <c r="B20" s="6" t="inlineStr">
        <is>
          <t>ขั้นที่ 1</t>
        </is>
      </c>
      <c r="C20" s="7" t="inlineStr">
        <is>
          <t>เปิดชีท 05_Params เลือกโหมดการคำนวณและ Scale Factor ให้ตรงกับขนาดงานจริง</t>
        </is>
      </c>
    </row>
    <row r="21" ht="30" customHeight="1">
      <c r="B21" s="6" t="inlineStr">
        <is>
          <t>ขั้นที่ 2</t>
        </is>
      </c>
      <c r="C21" s="7" t="inlineStr">
        <is>
          <t>เลือกผังตั้งต้นจากชีท 10_Archetypes แล้วเปิดชีท 03_Colocation_Calc ใส่ 1 ในคอลัมน์ VM ที่จะติดตั้งเครื่องมือนั้น (VM01-06 ใส่ผังอ้างอิงภาครัฐ 6 เครื่องไว้ให้แล้ว, VM07-10 ว่างสำหรับกรณีอื่น)</t>
        </is>
      </c>
    </row>
    <row r="22" ht="30" customHeight="1">
      <c r="B22" s="6" t="inlineStr">
        <is>
          <t>ขั้นที่ 3</t>
        </is>
      </c>
      <c r="C22" s="7" t="inlineStr">
        <is>
          <t>ดูผลที่ชีท 04_VM_Sizing — คอลัมน์ 'จัดสรร' คือค่า minimum ที่ต้องขอ และคอลัมน์ 'ผลประเมิน' บอกว่า spec ที่ขอไว้พอหรือไม่</t>
        </is>
      </c>
    </row>
    <row r="23" ht="30" customHeight="1">
      <c r="B23" s="6" t="inlineStr">
        <is>
          <t>ขั้นที่ 4</t>
        </is>
      </c>
      <c r="C23" s="7" t="inlineStr">
        <is>
          <t>ตรวจ compliance ที่ชีท 07_Compliance_Matrix — ข้อที่ 'ไม่ผ่าน' คือ capability ที่ยังไม่มีเครื่องมือรองรับ</t>
        </is>
      </c>
    </row>
    <row r="24" ht="30" customHeight="1">
      <c r="B24" s="6" t="inlineStr">
        <is>
          <t>ขั้นที่ 5</t>
        </is>
      </c>
      <c r="C24" s="7" t="inlineStr">
        <is>
          <t>วางแผนพื้นที่จัดเก็บระยะยาวจากชีท 06_Storage_LongTerm</t>
        </is>
      </c>
    </row>
    <row r="26">
      <c r="B26" s="4" t="inlineStr">
        <is>
          <t>รหัสสีที่ใช้</t>
        </is>
      </c>
      <c r="C26" s="5" t="n"/>
    </row>
    <row r="27" ht="30" customHeight="1">
      <c r="B27" s="6" t="inlineStr">
        <is>
          <t>ตัวเลขสีน้ำเงิน + พื้นเหลือง</t>
        </is>
      </c>
      <c r="C27" s="7" t="inlineStr">
        <is>
          <t>ช่องที่ผู้ใช้กรอก/แก้ไขได้</t>
        </is>
      </c>
    </row>
    <row r="28" ht="30" customHeight="1">
      <c r="B28" s="6" t="inlineStr">
        <is>
          <t>ตัวเลขสีเขียว</t>
        </is>
      </c>
      <c r="C28" s="7" t="inlineStr">
        <is>
          <t>สูตรที่อ้างอิงข้ามชีท</t>
        </is>
      </c>
    </row>
    <row r="29" ht="30" customHeight="1">
      <c r="B29" s="6" t="inlineStr">
        <is>
          <t>ตัวเลขสีดำ</t>
        </is>
      </c>
      <c r="C29" s="7" t="inlineStr">
        <is>
          <t>สูตรคำนวณภายในชีทเดียวกัน</t>
        </is>
      </c>
    </row>
    <row r="30" ht="30" customHeight="1">
      <c r="B30" s="6" t="inlineStr">
        <is>
          <t>พื้นเขียวอ่อน</t>
        </is>
      </c>
      <c r="C30" s="7" t="inlineStr">
        <is>
          <t>ผลลัพธ์สุดท้ายที่ต้องนำไปใช้ขอทรัพยากร</t>
        </is>
      </c>
    </row>
    <row r="31" ht="30" customHeight="1">
      <c r="B31" s="6" t="inlineStr">
        <is>
          <t>พื้นสีตาม Stage</t>
        </is>
      </c>
      <c r="C31" s="7" t="inlineStr">
        <is>
          <t>ฟ้า=Stage 1, เหลือง=2, ส้ม=3, เขียว=4, ม่วง=5, พีช=6</t>
        </is>
      </c>
    </row>
    <row r="33">
      <c r="B33" s="4" t="inlineStr">
        <is>
          <t>ข้อจำกัดที่ต้องรู้ก่อนใช้ตัวเลขนี้</t>
        </is>
      </c>
      <c r="C33" s="5" t="n"/>
    </row>
    <row r="34" ht="30" customHeight="1">
      <c r="B34" s="6" t="inlineStr">
        <is>
          <t>1</t>
        </is>
      </c>
      <c r="C34" s="7" t="inlineStr">
        <is>
          <t>ตัวเลข minimum เป็นค่าตั้งต้นจากเอกสารติดตั้งของผู้พัฒนาแต่ละเครื่องมือ รวมกับค่าที่พบจากการใช้งานจริงระดับ UAT/Production ขนาดเล็ก ไม่ใช่ผลวัดจากระบบของท่าน — ต้องวัด baseline จริง 2-4 สัปดาห์แล้วปรับ</t>
        </is>
      </c>
    </row>
    <row r="35" ht="30" customHeight="1">
      <c r="B35" s="6" t="inlineStr">
        <is>
          <t>2</t>
        </is>
      </c>
      <c r="C35" s="7" t="inlineStr">
        <is>
          <t>โหมด strict (ตามโจทย์) จะได้ค่าสูงกว่าความเป็นจริงในเครื่องที่มีเครื่องมือ ephemeral จำนวนมาก เพราะบวกทุกตัวแม้ในความจริงจะรันเรียงต่อกัน — ใช้ยื่นขอทรัพยากรเพื่อความปลอดภัย และใช้โหมด realistic เพื่อดูค่าที่น่าจะเกิดขึ้นจริง</t>
        </is>
      </c>
    </row>
    <row r="36" ht="30" customHeight="1">
      <c r="B36" s="6" t="inlineStr">
        <is>
          <t>3</t>
        </is>
      </c>
      <c r="C36" s="7" t="inlineStr">
        <is>
          <t>ปริมาณข้อมูลต่อวันอ่อนไหวต่อระดับ log และจำนวน build มาก — เปลี่ยน Scale Factor ให้ตรงกับปริมาณจริงก่อนอ่านผลชีท 06</t>
        </is>
      </c>
    </row>
    <row r="37" ht="30" customHeight="1">
      <c r="B37" s="6" t="inlineStr">
        <is>
          <t>3.1</t>
        </is>
      </c>
      <c r="C37" s="7" t="inlineStr">
        <is>
          <t>คอลัมน์มาตรฐานในชีท 01 บอกว่าเครื่องมือ 'ช่วยตอบ' ข้อกำหนดใดได้ ไม่ได้รับประกันว่าตั้งค่าถูกต้อง — การผ่านมาตรฐานจริงยังต้องมีการตั้งค่า กระบวนการ และหลักฐานการตรวจสอบประกอบ</t>
        </is>
      </c>
    </row>
    <row r="38" ht="30" customHeight="1">
      <c r="B38" s="6" t="inlineStr">
        <is>
          <t>4</t>
        </is>
      </c>
      <c r="C38" s="7" t="inlineStr">
        <is>
          <t>ตารางนี้ไม่ครอบคลุม network bandwidth, IOPS และ license cost ซึ่งต้องประเมินแยก</t>
        </is>
      </c>
    </row>
    <row r="39" ht="30" customHeight="1">
      <c r="B39" s="6" t="inlineStr">
        <is>
          <t>5</t>
        </is>
      </c>
      <c r="C39" s="7" t="inlineStr">
        <is>
          <t>License ที่เป็น GPL/AGPL (MinIO, Grafana, Zabbix, FOSSology, Wazuh, testssl.sh) ขัดกับข้อห้ามของโครงการภาครัฐบางแห่ง — ต้องตรวจเงื่อนไขการใช้งานก่อน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7" customWidth="1" min="3" max="3"/>
    <col width="26" customWidth="1" min="4" max="4"/>
    <col width="11" customWidth="1" min="5" max="5"/>
    <col width="9" customWidth="1" min="6" max="6"/>
    <col width="20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2" customWidth="1" min="13" max="13"/>
    <col width="10" customWidth="1" min="14" max="14"/>
    <col width="12" customWidth="1" min="15" max="15"/>
    <col width="12" customWidth="1" min="16" max="16"/>
    <col width="13" customWidth="1" min="17" max="17"/>
    <col width="10" customWidth="1" min="18" max="18"/>
    <col width="12" customWidth="1" min="19" max="19"/>
    <col width="12" customWidth="1" min="20" max="20"/>
    <col width="11" customWidth="1" min="21" max="21"/>
    <col width="11" customWidth="1" min="22" max="22"/>
    <col width="34" customWidth="1" min="23" max="23"/>
    <col width="44" customWidth="1" min="24" max="24"/>
    <col width="34" customWidth="1" min="25" max="25"/>
    <col width="32" customWidth="1" min="26" max="26"/>
    <col width="44" customWidth="1" min="27" max="27"/>
    <col width="10" customWidth="1" min="28" max="28"/>
    <col width="46" customWidth="1" min="29" max="29"/>
    <col width="40" customWidth="1" min="30" max="30"/>
    <col width="72" customWidth="1" min="31" max="31"/>
    <col width="78" customWidth="1" min="32" max="32"/>
  </cols>
  <sheetData>
    <row r="1" ht="24" customHeight="1">
      <c r="A1" s="8" t="inlineStr">
        <is>
          <t>01 — ตารางเครื่องมือ CI/CD ทุกประเภท + Resource Requirements (Minimum)</t>
        </is>
      </c>
      <c r="C1" s="3" t="inlineStr">
        <is>
          <t>72 เครื่องมือ ครบ 6 Stage ตาม CI/CD Service Blueprint V0.2</t>
        </is>
      </c>
    </row>
    <row r="2" ht="48" customHeight="1">
      <c r="A2" s="9" t="inlineStr">
        <is>
          <t>tool_id</t>
        </is>
      </c>
      <c r="B2" s="9" t="inlineStr">
        <is>
          <t>เครื่องมือ</t>
        </is>
      </c>
      <c r="C2" s="9" t="inlineStr">
        <is>
          <t>Stage</t>
        </is>
      </c>
      <c r="D2" s="9" t="inlineStr">
        <is>
          <t>หมวด (ขั้นตอนย่อย)</t>
        </is>
      </c>
      <c r="E2" s="9" t="inlineStr">
        <is>
          <t>Core/Opt</t>
        </is>
      </c>
      <c r="F2" s="9" t="inlineStr">
        <is>
          <t>Grade</t>
        </is>
      </c>
      <c r="G2" s="9" t="inlineStr">
        <is>
          <t>License</t>
        </is>
      </c>
      <c r="H2" s="9" t="inlineStr">
        <is>
          <t>min vCPU</t>
        </is>
      </c>
      <c r="I2" s="9" t="inlineStr">
        <is>
          <t>min RAM (GB)</t>
        </is>
      </c>
      <c r="J2" s="9" t="inlineStr">
        <is>
          <t>min Disk OS (GB)</t>
        </is>
      </c>
      <c r="K2" s="9" t="inlineStr">
        <is>
          <t>rec vCPU</t>
        </is>
      </c>
      <c r="L2" s="9" t="inlineStr">
        <is>
          <t>rec RAM (GB)</t>
        </is>
      </c>
      <c r="M2" s="9" t="inlineStr">
        <is>
          <t>rec Disk OS (GB)</t>
        </is>
      </c>
      <c r="N2" s="9" t="inlineStr">
        <is>
          <t>Resident 24/7</t>
        </is>
      </c>
      <c r="O2" s="9" t="inlineStr">
        <is>
          <t>Idle RAM (GB)</t>
        </is>
      </c>
      <c r="P2" s="9" t="inlineStr">
        <is>
          <t>Conc Group</t>
        </is>
      </c>
      <c r="Q2" s="9" t="inlineStr">
        <is>
          <t>freq_id</t>
        </is>
      </c>
      <c r="R2" s="9" t="inlineStr">
        <is>
          <t>น้ำหนัก w</t>
        </is>
      </c>
      <c r="S2" s="9" t="inlineStr">
        <is>
          <t>Data GB/วัน</t>
        </is>
      </c>
      <c r="T2" s="9" t="inlineStr">
        <is>
          <t>Retention (วัน)</t>
        </is>
      </c>
      <c r="U2" s="9" t="inlineStr">
        <is>
          <t>Index OH</t>
        </is>
      </c>
      <c r="V2" s="9" t="inlineStr">
        <is>
          <t>Growth/ปี</t>
        </is>
      </c>
      <c r="W2" s="9" t="inlineStr">
        <is>
          <t>Capabilities ที่ตอบได้</t>
        </is>
      </c>
      <c r="X2" s="9" t="inlineStr">
        <is>
          <t>มาตรฐานไทยที่ช่วยตอบ</t>
        </is>
      </c>
      <c r="Y2" s="9" t="inlineStr">
        <is>
          <t>มาตรฐานสากลที่ช่วยตอบ</t>
        </is>
      </c>
      <c r="Z2" s="9" t="inlineStr">
        <is>
          <t>มาตรการที่ตอบได้ครบด้วยตัวเอง</t>
        </is>
      </c>
      <c r="AA2" s="9" t="inlineStr">
        <is>
          <t>มาตรการที่ช่วยตอบบางส่วน</t>
        </is>
      </c>
      <c r="AB2" s="9" t="inlineStr">
        <is>
          <t>จำนวน
มาตรการ</t>
        </is>
      </c>
      <c r="AC2" s="9" t="inlineStr">
        <is>
          <t>ทางเลือก Enterprise-Grade</t>
        </is>
      </c>
      <c r="AD2" s="9" t="inlineStr">
        <is>
          <t>ทางเลือก Open Source อื่น</t>
        </is>
      </c>
      <c r="AE2" s="9" t="inlineStr">
        <is>
          <t>ที่มาของตัวเลข Minimum (Sizing Reference)</t>
        </is>
      </c>
      <c r="AF2" s="9" t="inlineStr">
        <is>
          <t>ข้อสังเกต / ข้อควรระวังในการวางเครื่อง</t>
        </is>
      </c>
    </row>
    <row r="3" ht="58" customHeight="1">
      <c r="A3" s="10" t="inlineStr">
        <is>
          <t>gitlab-ce</t>
        </is>
      </c>
      <c r="B3" s="11" t="inlineStr">
        <is>
          <t>GitLab Community Edition (Self-hosted Git)</t>
        </is>
      </c>
      <c r="C3" s="12" t="n">
        <v>1</v>
      </c>
      <c r="D3" s="11" t="inlineStr">
        <is>
          <t>Git Repository</t>
        </is>
      </c>
      <c r="E3" s="12" t="inlineStr">
        <is>
          <t>Core</t>
        </is>
      </c>
      <c r="F3" s="12" t="inlineStr">
        <is>
          <t>oss</t>
        </is>
      </c>
      <c r="G3" s="12" t="inlineStr">
        <is>
          <t>MIT</t>
        </is>
      </c>
      <c r="H3" s="12" t="n">
        <v>4</v>
      </c>
      <c r="I3" s="12" t="n">
        <v>8</v>
      </c>
      <c r="J3" s="12" t="n">
        <v>40</v>
      </c>
      <c r="K3" s="12" t="n">
        <v>8</v>
      </c>
      <c r="L3" s="12" t="n">
        <v>16</v>
      </c>
      <c r="M3" s="12" t="n">
        <v>200</v>
      </c>
      <c r="N3" s="12" t="n">
        <v>1</v>
      </c>
      <c r="O3" s="12" t="n">
        <v>5</v>
      </c>
      <c r="P3" s="12" t="inlineStr">
        <is>
          <t>resident</t>
        </is>
      </c>
      <c r="Q3" s="12" t="inlineStr">
        <is>
          <t>resident</t>
        </is>
      </c>
      <c r="R3" s="13">
        <f>INDEX('02_Freq_Weight'!$E$3:$E$9,MATCH(Q3,'02_Freq_Weight'!$A$3:$A$9,0))</f>
        <v/>
      </c>
      <c r="S3" s="12" t="n">
        <v>0.05</v>
      </c>
      <c r="T3" s="12" t="n">
        <v>3650</v>
      </c>
      <c r="U3" s="14" t="n">
        <v>0.2</v>
      </c>
      <c r="V3" s="14" t="n">
        <v>0.25</v>
      </c>
      <c r="W3" s="11" t="inlineStr">
        <is>
          <t>git_scm, webhook, branch_protection, pipeline, audit_trail</t>
        </is>
      </c>
      <c r="X3" s="1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3" s="11" t="inlineStr">
        <is>
          <t>ISO 22301:2019; ISO/IEC 27001:2022; ISO/IEC 27018; ISO/IEC 27701; ISO/IEC 42001:2023; NIST SP 800-53r5; NIST CSF 2.0; NIST SSDF (SP 800-218); OWASP SAMM 2; SLSA v1.0; SOC 2 (TSC)</t>
        </is>
      </c>
      <c r="Z3" s="11" t="inlineStr">
        <is>
          <t>C-LOG-AUDIT</t>
        </is>
      </c>
      <c r="AA3" s="11" t="inlineStr">
        <is>
          <t>C-LOG-90, C-OPS-BCP, C-SDLC-REVIEW, C-SDLC-TRACE, C-WEB-SELF</t>
        </is>
      </c>
      <c r="AB3" s="12" t="n">
        <v>6</v>
      </c>
      <c r="AC3" s="11" t="inlineStr">
        <is>
          <t>GitLab Enterprise Edition; GitHub Enterprise Server; Bitbucket Data Center; Azure DevOps Server</t>
        </is>
      </c>
      <c r="AD3" s="11" t="inlineStr">
        <is>
          <t>Gitea; Forgejo; Gogs; Onedev</t>
        </is>
      </c>
      <c r="AE3" s="11" t="inlineStr">
        <is>
          <t>GitLab docs: 4 vCPU / 4 GB (แนะนำ 8 GB) รองรับได้ถึง ~500 users; Puma+Sidekiq+Gitaly+PostgreSQL+Redis รวมในเครื่องเดียว</t>
        </is>
      </c>
      <c r="AF3" s="11" t="inlineStr">
        <is>
          <t>ทางเลือกหลักของภาครัฐที่ต้องการ Git แบบ On-premise เต็มรูปแบบ กินทรัพยากรมากเพราะรวมหลาย service; ถ้าต้องการเบาให้ใช้ Gitea</t>
        </is>
      </c>
    </row>
    <row r="4" ht="58" customHeight="1">
      <c r="A4" s="10" t="inlineStr">
        <is>
          <t>gitea</t>
        </is>
      </c>
      <c r="B4" s="11" t="inlineStr">
        <is>
          <t>Gitea / Forgejo (Lightweight Git)</t>
        </is>
      </c>
      <c r="C4" s="12" t="n">
        <v>1</v>
      </c>
      <c r="D4" s="11" t="inlineStr">
        <is>
          <t>Git Repository</t>
        </is>
      </c>
      <c r="E4" s="12" t="inlineStr">
        <is>
          <t>Core</t>
        </is>
      </c>
      <c r="F4" s="12" t="inlineStr">
        <is>
          <t>oss</t>
        </is>
      </c>
      <c r="G4" s="12" t="inlineStr">
        <is>
          <t>MIT</t>
        </is>
      </c>
      <c r="H4" s="12" t="n">
        <v>1</v>
      </c>
      <c r="I4" s="12" t="n">
        <v>1</v>
      </c>
      <c r="J4" s="12" t="n">
        <v>10</v>
      </c>
      <c r="K4" s="12" t="n">
        <v>2</v>
      </c>
      <c r="L4" s="12" t="n">
        <v>4</v>
      </c>
      <c r="M4" s="12" t="n">
        <v>100</v>
      </c>
      <c r="N4" s="12" t="n">
        <v>1</v>
      </c>
      <c r="O4" s="12" t="n">
        <v>0.5</v>
      </c>
      <c r="P4" s="12" t="inlineStr">
        <is>
          <t>resident</t>
        </is>
      </c>
      <c r="Q4" s="12" t="inlineStr">
        <is>
          <t>resident</t>
        </is>
      </c>
      <c r="R4" s="13">
        <f>INDEX('02_Freq_Weight'!$E$3:$E$9,MATCH(Q4,'02_Freq_Weight'!$A$3:$A$9,0))</f>
        <v/>
      </c>
      <c r="S4" s="12" t="n">
        <v>0.02</v>
      </c>
      <c r="T4" s="12" t="n">
        <v>3650</v>
      </c>
      <c r="U4" s="14" t="n">
        <v>0.1</v>
      </c>
      <c r="V4" s="14" t="n">
        <v>0.25</v>
      </c>
      <c r="W4" s="11" t="inlineStr">
        <is>
          <t>git_scm, webhook, branch_protection, audit_trail</t>
        </is>
      </c>
      <c r="X4" s="1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4" s="11" t="inlineStr">
        <is>
          <t>ISO 22301:2019; ISO/IEC 27001:2022; ISO/IEC 27018; ISO/IEC 27701; ISO/IEC 42001:2023; NIST SP 800-53r5; NIST CSF 2.0; NIST SSDF (SP 800-218); OWASP SAMM 2; SLSA v1.0; SOC 2 (TSC)</t>
        </is>
      </c>
      <c r="Z4" s="11" t="inlineStr">
        <is>
          <t>C-LOG-AUDIT</t>
        </is>
      </c>
      <c r="AA4" s="11" t="inlineStr">
        <is>
          <t>C-LOG-90, C-OPS-BCP, C-SDLC-REVIEW, C-SDLC-TRACE, C-WEB-SELF</t>
        </is>
      </c>
      <c r="AB4" s="12" t="n">
        <v>6</v>
      </c>
      <c r="AC4" s="11" t="inlineStr">
        <is>
          <t>GitLab Enterprise Edition; GitHub Enterprise Server; Bitbucket Data Center</t>
        </is>
      </c>
      <c r="AD4" s="11" t="inlineStr"/>
      <c r="AE4" s="11" t="inlineStr">
        <is>
          <t>Gitea docs: 2 CPU cores / 1 GB RAM เพียงพอสำหรับทีมขนาดเล็ก-กลาง; binary เดียว + SQLite/PostgreSQL</t>
        </is>
      </c>
      <c r="AF4" s="11" t="inlineStr">
        <is>
          <t>ตัวเลือกเบาสำหรับเครื่องที่ต้องแชร์กับเครื่องมืออื่น กินแค่ ~300-500 MB RAM ตอน idle</t>
        </is>
      </c>
    </row>
    <row r="5" ht="58" customHeight="1">
      <c r="A5" s="10" t="inlineStr">
        <is>
          <t>github-actions-runner</t>
        </is>
      </c>
      <c r="B5" s="11" t="inlineStr">
        <is>
          <t>GitHub Actions Self-hosted Runner</t>
        </is>
      </c>
      <c r="C5" s="12" t="n">
        <v>1</v>
      </c>
      <c r="D5" s="11" t="inlineStr">
        <is>
          <t>Pipeline Orchestration</t>
        </is>
      </c>
      <c r="E5" s="12" t="inlineStr">
        <is>
          <t>Core</t>
        </is>
      </c>
      <c r="F5" s="12" t="inlineStr">
        <is>
          <t>oss</t>
        </is>
      </c>
      <c r="G5" s="12" t="inlineStr">
        <is>
          <t>MIT</t>
        </is>
      </c>
      <c r="H5" s="12" t="n">
        <v>2</v>
      </c>
      <c r="I5" s="12" t="n">
        <v>4</v>
      </c>
      <c r="J5" s="12" t="n">
        <v>60</v>
      </c>
      <c r="K5" s="12" t="n">
        <v>4</v>
      </c>
      <c r="L5" s="12" t="n">
        <v>8</v>
      </c>
      <c r="M5" s="12" t="n">
        <v>150</v>
      </c>
      <c r="N5" s="12" t="n">
        <v>0</v>
      </c>
      <c r="O5" s="12" t="n">
        <v>0.2</v>
      </c>
      <c r="P5" s="12" t="inlineStr">
        <is>
          <t>ci_seq</t>
        </is>
      </c>
      <c r="Q5" s="12" t="inlineStr">
        <is>
          <t>per_commit</t>
        </is>
      </c>
      <c r="R5" s="13">
        <f>INDEX('02_Freq_Weight'!$E$3:$E$9,MATCH(Q5,'02_Freq_Weight'!$A$3:$A$9,0))</f>
        <v/>
      </c>
      <c r="S5" s="12" t="n">
        <v>0.6</v>
      </c>
      <c r="T5" s="12" t="n">
        <v>30</v>
      </c>
      <c r="U5" s="14" t="n">
        <v>0.05</v>
      </c>
      <c r="V5" s="14" t="n">
        <v>0.2</v>
      </c>
      <c r="W5" s="11" t="inlineStr">
        <is>
          <t>pipeline, webhook, build</t>
        </is>
      </c>
      <c r="X5" s="11" t="inlineStr">
        <is>
          <t>มาตรฐานข้อมูลเปิดภาครัฐ; พ.ร.บ. ปฏิบัติราชการทางอิเล็กทรอนิกส์ 2565</t>
        </is>
      </c>
      <c r="Y5" s="11" t="inlineStr">
        <is>
          <t>CIS Benchmarks; NIST SSDF (SP 800-218); OWASP Top 10:2025; SLSA v1.0</t>
        </is>
      </c>
      <c r="Z5" s="11" t="inlineStr">
        <is>
          <t>-</t>
        </is>
      </c>
      <c r="AA5" s="11" t="inlineStr">
        <is>
          <t>C-SC-IMG, C-SC-PIN, C-SDLC-TRACE</t>
        </is>
      </c>
      <c r="AB5" s="12" t="n">
        <v>3</v>
      </c>
      <c r="AC5" s="11" t="inlineStr">
        <is>
          <t>GitHub Actions Enterprise; GitHub Enterprise Server</t>
        </is>
      </c>
      <c r="AD5" s="11" t="inlineStr"/>
      <c r="AE5" s="11" t="inlineStr">
        <is>
          <t>GitHub-hosted standard runner = 2 vCPU / 7 GB / 14 GB SSD — ใช้เป็นเกณฑ์เทียบขั้นต่ำของ self-hosted runner</t>
        </is>
      </c>
      <c r="AF5" s="11" t="inlineStr">
        <is>
          <t>รูปแบบที่ประหยัดที่สุดคือให้ Runner ของผู้ให้บริการ Git ทำงานเบา (Lint / Unit Test) แล้วส่ง Webhook เข้า Orchestrator ในองค์กร จึงไม่ต้องใช้ VM ของหน่วยงานในขั้นนี้; ถ้าอยู่หลัง Proxy ต้อง whitelist โดเมนของผู้ให้บริการ (เช่น *.github.com, *.ghcr.io, *.githubusercontent.com)</t>
        </is>
      </c>
    </row>
    <row r="6" ht="58" customHeight="1">
      <c r="A6" s="10" t="inlineStr">
        <is>
          <t>jenkins-master</t>
        </is>
      </c>
      <c r="B6" s="11" t="inlineStr">
        <is>
          <t>Jenkins Master / Controller</t>
        </is>
      </c>
      <c r="C6" s="12" t="n">
        <v>1</v>
      </c>
      <c r="D6" s="11" t="inlineStr">
        <is>
          <t>Pipeline Orchestration</t>
        </is>
      </c>
      <c r="E6" s="12" t="inlineStr">
        <is>
          <t>Core</t>
        </is>
      </c>
      <c r="F6" s="12" t="inlineStr">
        <is>
          <t>oss</t>
        </is>
      </c>
      <c r="G6" s="12" t="inlineStr">
        <is>
          <t>MIT</t>
        </is>
      </c>
      <c r="H6" s="12" t="n">
        <v>2</v>
      </c>
      <c r="I6" s="12" t="n">
        <v>4</v>
      </c>
      <c r="J6" s="12" t="n">
        <v>20</v>
      </c>
      <c r="K6" s="12" t="n">
        <v>4</v>
      </c>
      <c r="L6" s="12" t="n">
        <v>8</v>
      </c>
      <c r="M6" s="12" t="n">
        <v>100</v>
      </c>
      <c r="N6" s="12" t="n">
        <v>1</v>
      </c>
      <c r="O6" s="12" t="n">
        <v>2</v>
      </c>
      <c r="P6" s="12" t="inlineStr">
        <is>
          <t>resident</t>
        </is>
      </c>
      <c r="Q6" s="12" t="inlineStr">
        <is>
          <t>resident</t>
        </is>
      </c>
      <c r="R6" s="13">
        <f>INDEX('02_Freq_Weight'!$E$3:$E$9,MATCH(Q6,'02_Freq_Weight'!$A$3:$A$9,0))</f>
        <v/>
      </c>
      <c r="S6" s="12" t="n">
        <v>0.15</v>
      </c>
      <c r="T6" s="12" t="n">
        <v>180</v>
      </c>
      <c r="U6" s="14" t="n">
        <v>0.1</v>
      </c>
      <c r="V6" s="14" t="n">
        <v>0.15</v>
      </c>
      <c r="W6" s="11" t="inlineStr">
        <is>
          <t>pipeline, webhook, quality_gate, audit_trail, notify</t>
        </is>
      </c>
      <c r="X6" s="1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2562; ประกาศ PDPC แจ้งเหตุละเมิด 2565</t>
        </is>
      </c>
      <c r="Y6" s="11" t="inlineStr">
        <is>
          <t>ISO 22301:2019; ISO/IEC 27001:2022; ISO/IEC 27018; ISO/IEC 27034; ISO/IEC 27701; ISO/IEC 42001:2023; NIST SP 800-53r5; NIST CSF 2.0; NIST SSDF (SP 800-218); OWASP SAMM 2; OWASP Top 10:2025; SLSA v1.0; SOC 2 (TSC)</t>
        </is>
      </c>
      <c r="Z6" s="11" t="inlineStr">
        <is>
          <t>C-LOG-AUDIT</t>
        </is>
      </c>
      <c r="AA6" s="11" t="inlineStr">
        <is>
          <t>C-AI-GOV, C-LOG-90, C-LOG-NOTIFY, C-OPS-BCP, C-PRV-BREACH, C-SDLC-REVIEW, C-SDLC-THREAT, C-SDLC-TRACE, C-WEB-SELF</t>
        </is>
      </c>
      <c r="AB6" s="12" t="n">
        <v>10</v>
      </c>
      <c r="AC6" s="11" t="inlineStr">
        <is>
          <t>CloudBees CI; Jenkins Enterprise; Azure DevOps Server; GitLab Ultimate Self-Managed</t>
        </is>
      </c>
      <c r="AD6" s="11" t="inlineStr">
        <is>
          <t>Argo Workflows; Tekton Pipelines; Woodpecker CI; Drone CI; Concourse CI</t>
        </is>
      </c>
      <c r="AE6" s="11" t="inlineStr">
        <is>
          <t>Jenkins docs: absolute min 256 MB RAM / 1 GB disk; 'small team' 1 GB+ RAM / 50 GB disk — ภาครัฐที่ลง plugin RBAC/Audit/Pipeline ควรเริ่ม 2 vCPU / 4 GB (JVM heap 2 GB)</t>
        </is>
      </c>
      <c r="AF6" s="11" t="inlineStr">
        <is>
          <t>ห้ามรัน Build บน Master (Controller) — ให้สั่ง Agent เท่านั้น เพื่อกัน Master ล่มและกันช่องโหว่ Script Approval</t>
        </is>
      </c>
    </row>
    <row r="7" ht="58" customHeight="1">
      <c r="A7" s="10" t="inlineStr">
        <is>
          <t>jenkins-agent</t>
        </is>
      </c>
      <c r="B7" s="11" t="inlineStr">
        <is>
          <t>Jenkins Agent / Build Executor (ต่อ 1 Executor)</t>
        </is>
      </c>
      <c r="C7" s="12" t="n">
        <v>1</v>
      </c>
      <c r="D7" s="11" t="inlineStr">
        <is>
          <t>Pipeline Orchestration</t>
        </is>
      </c>
      <c r="E7" s="12" t="inlineStr">
        <is>
          <t>Core</t>
        </is>
      </c>
      <c r="F7" s="12" t="inlineStr">
        <is>
          <t>oss</t>
        </is>
      </c>
      <c r="G7" s="12" t="inlineStr">
        <is>
          <t>MIT</t>
        </is>
      </c>
      <c r="H7" s="12" t="n">
        <v>2</v>
      </c>
      <c r="I7" s="12" t="n">
        <v>4</v>
      </c>
      <c r="J7" s="12" t="n">
        <v>60</v>
      </c>
      <c r="K7" s="12" t="n">
        <v>4</v>
      </c>
      <c r="L7" s="12" t="n">
        <v>8</v>
      </c>
      <c r="M7" s="12" t="n">
        <v>200</v>
      </c>
      <c r="N7" s="12" t="n">
        <v>0</v>
      </c>
      <c r="O7" s="12" t="n">
        <v>0.3</v>
      </c>
      <c r="P7" s="12" t="inlineStr">
        <is>
          <t>resident</t>
        </is>
      </c>
      <c r="Q7" s="12" t="inlineStr">
        <is>
          <t>per_commit</t>
        </is>
      </c>
      <c r="R7" s="13">
        <f>INDEX('02_Freq_Weight'!$E$3:$E$9,MATCH(Q7,'02_Freq_Weight'!$A$3:$A$9,0))</f>
        <v/>
      </c>
      <c r="S7" s="12" t="n">
        <v>0.8</v>
      </c>
      <c r="T7" s="12" t="n">
        <v>7</v>
      </c>
      <c r="U7" s="14" t="n">
        <v>0.05</v>
      </c>
      <c r="V7" s="14" t="n">
        <v>0.2</v>
      </c>
      <c r="W7" s="11" t="inlineStr">
        <is>
          <t>pipeline, build, unit_test</t>
        </is>
      </c>
      <c r="X7" s="11" t="inlineStr">
        <is>
          <t>มาตรฐานข้อมูลเปิดภาครัฐ; พ.ร.บ. ปฏิบัติราชการทางอิเล็กทรอนิกส์ 2565</t>
        </is>
      </c>
      <c r="Y7" s="11" t="inlineStr">
        <is>
          <t>CIS Benchmarks; ISO/IEC 25010:2023; ISO/IEC 27001:2022; ISO/IEC 27034; NIST SSDF (SP 800-218); OWASP Top 10:2025; SLSA v1.0</t>
        </is>
      </c>
      <c r="Z7" s="11" t="inlineStr">
        <is>
          <t>-</t>
        </is>
      </c>
      <c r="AA7" s="11" t="inlineStr">
        <is>
          <t>C-SC-IMG, C-SC-PIN, C-SDLC-QUALITY, C-SDLC-TEST, C-SDLC-TRACE</t>
        </is>
      </c>
      <c r="AB7" s="12" t="n">
        <v>5</v>
      </c>
      <c r="AC7" s="11" t="inlineStr">
        <is>
          <t>CloudBees CI Agent; Azure Pipelines Agent</t>
        </is>
      </c>
      <c r="AD7" s="11" t="inlineStr"/>
      <c r="AE7" s="11" t="inlineStr">
        <is>
          <t>1 Executor = 1 build พร้อมกัน; ประสบการณ์ทั่วไป 1 vCPU + 2 GB ต่อ executor เป็นขั้นต่ำ, 2 vCPU + 4 GB เมื่อ build Java/Node ที่มี dependency มาก</t>
        </is>
      </c>
      <c r="AF7" s="11" t="inlineStr">
        <is>
          <t>จำนวน Executor = จำนวน build ที่รันขนานได้ ให้คำนวณ vCPU/RAM แบบคูณจำนวน executor; Workspace ควรมี disk 60-200 GB และตั้ง cleanup ทุกรอบ</t>
        </is>
      </c>
    </row>
    <row r="8" ht="58" customHeight="1">
      <c r="A8" s="10" t="inlineStr">
        <is>
          <t>argo-workflows</t>
        </is>
      </c>
      <c r="B8" s="11" t="inlineStr">
        <is>
          <t>Argo Workflows (CNCF Graduated)</t>
        </is>
      </c>
      <c r="C8" s="12" t="n">
        <v>1</v>
      </c>
      <c r="D8" s="11" t="inlineStr">
        <is>
          <t>Pipeline Orchestration</t>
        </is>
      </c>
      <c r="E8" s="12" t="inlineStr">
        <is>
          <t>Core</t>
        </is>
      </c>
      <c r="F8" s="12" t="inlineStr">
        <is>
          <t>oss</t>
        </is>
      </c>
      <c r="G8" s="12" t="inlineStr">
        <is>
          <t>Apache-2.0</t>
        </is>
      </c>
      <c r="H8" s="12" t="n">
        <v>1</v>
      </c>
      <c r="I8" s="12" t="n">
        <v>2</v>
      </c>
      <c r="J8" s="12" t="n">
        <v>10</v>
      </c>
      <c r="K8" s="12" t="n">
        <v>2</v>
      </c>
      <c r="L8" s="12" t="n">
        <v>4</v>
      </c>
      <c r="M8" s="12" t="n">
        <v>40</v>
      </c>
      <c r="N8" s="12" t="n">
        <v>1</v>
      </c>
      <c r="O8" s="12" t="n">
        <v>1</v>
      </c>
      <c r="P8" s="12" t="inlineStr">
        <is>
          <t>resident</t>
        </is>
      </c>
      <c r="Q8" s="12" t="inlineStr">
        <is>
          <t>resident</t>
        </is>
      </c>
      <c r="R8" s="13">
        <f>INDEX('02_Freq_Weight'!$E$3:$E$9,MATCH(Q8,'02_Freq_Weight'!$A$3:$A$9,0))</f>
        <v/>
      </c>
      <c r="S8" s="12" t="n">
        <v>0.15</v>
      </c>
      <c r="T8" s="12" t="n">
        <v>90</v>
      </c>
      <c r="U8" s="14" t="n">
        <v>0.1</v>
      </c>
      <c r="V8" s="14" t="n">
        <v>0.2</v>
      </c>
      <c r="W8" s="11" t="inlineStr">
        <is>
          <t>pipeline, webhook, audit_trail</t>
        </is>
      </c>
      <c r="X8" s="1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8" s="11" t="inlineStr">
        <is>
          <t>ISO 22301:2019; ISO/IEC 27001:2022; ISO/IEC 27018; ISO/IEC 27701; ISO/IEC 42001:2023; NIST SP 800-53r5; NIST CSF 2.0; NIST SSDF (SP 800-218); SLSA v1.0; SOC 2 (TSC)</t>
        </is>
      </c>
      <c r="Z8" s="11" t="inlineStr">
        <is>
          <t>C-LOG-AUDIT</t>
        </is>
      </c>
      <c r="AA8" s="11" t="inlineStr">
        <is>
          <t>C-LOG-90, C-OPS-BCP, C-SDLC-TRACE, C-WEB-SELF</t>
        </is>
      </c>
      <c r="AB8" s="12" t="n">
        <v>5</v>
      </c>
      <c r="AC8" s="11" t="inlineStr">
        <is>
          <t>Azure DevOps; CloudBees CI; Harness</t>
        </is>
      </c>
      <c r="AD8" s="11" t="inlineStr"/>
      <c r="AE8" s="11" t="inlineStr">
        <is>
          <t>Argo Workflows controller ทั่วไปตั้ง request 100m CPU / 128Mi และ limit ~500m / 1Gi; ต้องมี Kubernetes อยู่แล้ว</t>
        </is>
      </c>
      <c r="AF8" s="11" t="inlineStr">
        <is>
          <t>เหมาะเมื่อมี Kubernetes แล้ว — เบากว่า Jenkins มาก แต่ต้องนับ resource ของ K8s control plane เพิ่ม</t>
        </is>
      </c>
    </row>
    <row r="9" ht="58" customHeight="1">
      <c r="A9" s="10" t="inlineStr">
        <is>
          <t>opa-conftest</t>
        </is>
      </c>
      <c r="B9" s="11" t="inlineStr">
        <is>
          <t>Open Policy Agent / Conftest (Policy-as-Code Gate)</t>
        </is>
      </c>
      <c r="C9" s="12" t="n">
        <v>1</v>
      </c>
      <c r="D9" s="11" t="inlineStr">
        <is>
          <t>Branch Protection</t>
        </is>
      </c>
      <c r="E9" s="12" t="inlineStr">
        <is>
          <t>Optional</t>
        </is>
      </c>
      <c r="F9" s="12" t="inlineStr">
        <is>
          <t>oss</t>
        </is>
      </c>
      <c r="G9" s="12" t="inlineStr">
        <is>
          <t>Apache-2.0</t>
        </is>
      </c>
      <c r="H9" s="12" t="n">
        <v>1</v>
      </c>
      <c r="I9" s="12" t="n">
        <v>1</v>
      </c>
      <c r="J9" s="12" t="n">
        <v>5</v>
      </c>
      <c r="K9" s="12" t="n">
        <v>1</v>
      </c>
      <c r="L9" s="12" t="n">
        <v>2</v>
      </c>
      <c r="M9" s="12" t="n">
        <v>10</v>
      </c>
      <c r="N9" s="12" t="n">
        <v>0</v>
      </c>
      <c r="O9" s="12" t="n">
        <v>0</v>
      </c>
      <c r="P9" s="12" t="inlineStr">
        <is>
          <t>ci_seq</t>
        </is>
      </c>
      <c r="Q9" s="12" t="inlineStr">
        <is>
          <t>per_pr</t>
        </is>
      </c>
      <c r="R9" s="13">
        <f>INDEX('02_Freq_Weight'!$E$3:$E$9,MATCH(Q9,'02_Freq_Weight'!$A$3:$A$9,0))</f>
        <v/>
      </c>
      <c r="S9" s="12" t="n">
        <v>0.01</v>
      </c>
      <c r="T9" s="12" t="n">
        <v>90</v>
      </c>
      <c r="U9" s="14" t="n">
        <v>0.05</v>
      </c>
      <c r="V9" s="14" t="n">
        <v>0.1</v>
      </c>
      <c r="W9" s="11" t="inlineStr">
        <is>
          <t>branch_protection, iac_scan, quality_gate</t>
        </is>
      </c>
      <c r="X9" s="11" t="inlineStr">
        <is>
          <t>มาตรฐานคลาวด์ 2567</t>
        </is>
      </c>
      <c r="Y9" s="11" t="inlineStr">
        <is>
          <t>CIS Benchmarks; ISO/IEC 27001:2022; ISO/IEC 27034; ISO/IEC 42001:2023; NIST SSDF (SP 800-218); OWASP SAMM 2; OWASP Top 10:2025; SOC 2 (TSC)</t>
        </is>
      </c>
      <c r="Z9" s="11" t="inlineStr">
        <is>
          <t>C-OPS-IAC</t>
        </is>
      </c>
      <c r="AA9" s="11" t="inlineStr">
        <is>
          <t>C-AI-GOV, C-SDLC-REVIEW, C-SDLC-THREAT</t>
        </is>
      </c>
      <c r="AB9" s="12" t="n">
        <v>4</v>
      </c>
      <c r="AC9" s="11" t="inlineStr">
        <is>
          <t>GitHub Enterprise Branch Protection; GitLab Premium Protected Branches; Azure Branch Policies</t>
        </is>
      </c>
      <c r="AD9" s="11" t="inlineStr"/>
      <c r="AE9" s="11" t="inlineStr">
        <is>
          <t>OPA binary เดียว ใช้ RAM หลักสิบ MB ตอนประเมิน policy; ค่าขั้นต่ำ 1 vCPU / 1 GB คือการกันที่ให้ container</t>
        </is>
      </c>
      <c r="AF9" s="11" t="inlineStr">
        <is>
          <t>ใช้บังคับกฎ 'ต้องมี 2 Approvers' และตรวจ Terraform/K8s YAML ก่อน Merge ตาม CORE-R1</t>
        </is>
      </c>
    </row>
    <row r="10" ht="58" customHeight="1">
      <c r="A10" s="10" t="inlineStr">
        <is>
          <t>nginx-gateway</t>
        </is>
      </c>
      <c r="B10" s="11" t="inlineStr">
        <is>
          <t>Nginx (Reverse Proxy / Webhook Relay)</t>
        </is>
      </c>
      <c r="C10" s="12" t="n">
        <v>1</v>
      </c>
      <c r="D10" s="11" t="inlineStr">
        <is>
          <t>Webhook Trigger</t>
        </is>
      </c>
      <c r="E10" s="12" t="inlineStr">
        <is>
          <t>Core</t>
        </is>
      </c>
      <c r="F10" s="12" t="inlineStr">
        <is>
          <t>oss</t>
        </is>
      </c>
      <c r="G10" s="12" t="inlineStr">
        <is>
          <t>BSD-2</t>
        </is>
      </c>
      <c r="H10" s="12" t="n">
        <v>1</v>
      </c>
      <c r="I10" s="12" t="n">
        <v>1</v>
      </c>
      <c r="J10" s="12" t="n">
        <v>10</v>
      </c>
      <c r="K10" s="12" t="n">
        <v>2</v>
      </c>
      <c r="L10" s="12" t="n">
        <v>4</v>
      </c>
      <c r="M10" s="12" t="n">
        <v>40</v>
      </c>
      <c r="N10" s="12" t="n">
        <v>1</v>
      </c>
      <c r="O10" s="12" t="n">
        <v>0.3</v>
      </c>
      <c r="P10" s="12" t="inlineStr">
        <is>
          <t>resident</t>
        </is>
      </c>
      <c r="Q10" s="12" t="inlineStr">
        <is>
          <t>resident</t>
        </is>
      </c>
      <c r="R10" s="13">
        <f>INDEX('02_Freq_Weight'!$E$3:$E$9,MATCH(Q10,'02_Freq_Weight'!$A$3:$A$9,0))</f>
        <v/>
      </c>
      <c r="S10" s="12" t="n">
        <v>0.1</v>
      </c>
      <c r="T10" s="12" t="n">
        <v>90</v>
      </c>
      <c r="U10" s="14" t="n">
        <v>0.1</v>
      </c>
      <c r="V10" s="14" t="n">
        <v>0.2</v>
      </c>
      <c r="W10" s="11" t="inlineStr">
        <is>
          <t>webhook, tls_check</t>
        </is>
      </c>
      <c r="X10" s="11" t="inlineStr">
        <is>
          <t>มสพร. 11-2566 เว็บไซต์ภาครัฐ 3.0; มาตรฐานข้อมูลเปิดภาครัฐ; พ.ร.บ. ปฏิบัติราชการทางอิเล็กทรอนิกส์ 2565; ขมธอ. ความมั่นคงปลอดภัยสารสนเทศ; มาตรฐานเว็บไซต์ 2568; PDPA 2562; ประกาศ PDPC มาตรการความปลอดภัย 2565; พ.ร.ฎ. วิธีการแบบปลอดภัย 2553</t>
        </is>
      </c>
      <c r="Y10" s="11" t="inlineStr">
        <is>
          <t>CycloneDX / ECMA-424; ISO/IEC 27018; ISO/IEC 27701; ISO/IEC 29100; NIST PQC Migration; NIST SSDF (SP 800-218); OWASP Top 10:2025; PCI DSS v4.0; SLSA v1.0</t>
        </is>
      </c>
      <c r="Z10" s="11" t="inlineStr">
        <is>
          <t>C-CRY-TLS</t>
        </is>
      </c>
      <c r="AA10" s="11" t="inlineStr">
        <is>
          <t>C-CRY-PQC, C-PRV-MEASURE, C-SDLC-TRACE</t>
        </is>
      </c>
      <c r="AB10" s="12" t="n">
        <v>4</v>
      </c>
      <c r="AC10" s="11" t="inlineStr">
        <is>
          <t>F5 BIG-IP; Azure Application Gateway; AWS ALB</t>
        </is>
      </c>
      <c r="AD10" s="11" t="inlineStr"/>
      <c r="AE10" s="11" t="inlineStr">
        <is>
          <t>Nginx worker กิน RAM หลักสิบ MB ต่อ worker; 1 vCPU / 1 GB รองรับหลักพัน req/s ของ webhook ได้</t>
        </is>
      </c>
      <c r="AF10" s="11" t="inlineStr">
        <is>
          <t>โดยทั่วไปวาง Reverse Proxy แยกเครื่อง (2 vCPU / 4 GB เพียงพอสำหรับ traffic ระดับหน่วยงาน); บนเครื่อง CI ใช้เพียง relay webhook ผ่าน Proxy Whitelist จึงกินทรัพยากรน้อยมาก</t>
        </is>
      </c>
    </row>
    <row r="11" ht="58" customHeight="1">
      <c r="A11" s="15" t="inlineStr">
        <is>
          <t>sonarqube</t>
        </is>
      </c>
      <c r="B11" s="16" t="inlineStr">
        <is>
          <t>SonarQube Community Edition</t>
        </is>
      </c>
      <c r="C11" s="17" t="n">
        <v>2</v>
      </c>
      <c r="D11" s="16" t="inlineStr">
        <is>
          <t>SAST + Code Quality</t>
        </is>
      </c>
      <c r="E11" s="17" t="inlineStr">
        <is>
          <t>Core</t>
        </is>
      </c>
      <c r="F11" s="17" t="inlineStr">
        <is>
          <t>oss</t>
        </is>
      </c>
      <c r="G11" s="17" t="inlineStr">
        <is>
          <t>LGPL-3.0</t>
        </is>
      </c>
      <c r="H11" s="17" t="n">
        <v>2</v>
      </c>
      <c r="I11" s="17" t="n">
        <v>4</v>
      </c>
      <c r="J11" s="17" t="n">
        <v>30</v>
      </c>
      <c r="K11" s="17" t="n">
        <v>4</v>
      </c>
      <c r="L11" s="17" t="n">
        <v>8</v>
      </c>
      <c r="M11" s="17" t="n">
        <v>100</v>
      </c>
      <c r="N11" s="17" t="n">
        <v>1</v>
      </c>
      <c r="O11" s="17" t="n">
        <v>3.5</v>
      </c>
      <c r="P11" s="17" t="inlineStr">
        <is>
          <t>resident</t>
        </is>
      </c>
      <c r="Q11" s="17" t="inlineStr">
        <is>
          <t>resident</t>
        </is>
      </c>
      <c r="R11" s="18">
        <f>INDEX('02_Freq_Weight'!$E$3:$E$9,MATCH(Q11,'02_Freq_Weight'!$A$3:$A$9,0))</f>
        <v/>
      </c>
      <c r="S11" s="17" t="n">
        <v>0.1</v>
      </c>
      <c r="T11" s="17" t="n">
        <v>365</v>
      </c>
      <c r="U11" s="19" t="n">
        <v>0.3</v>
      </c>
      <c r="V11" s="19" t="n">
        <v>0.2</v>
      </c>
      <c r="W11" s="16" t="inlineStr">
        <is>
          <t>sast, code_quality, quality_gate</t>
        </is>
      </c>
      <c r="X11" s="16" t="inlineStr">
        <is>
          <t>ขมธอ. ความมั่นคงปลอดภัยสารสนเทศ; มาตรฐานเว็บไซต์ 2568</t>
        </is>
      </c>
      <c r="Y11" s="16" t="inlineStr">
        <is>
          <t>CIS Controls v8.1; ISO/IEC 25010:2023; ISO/IEC 27001:2022; ISO/IEC 27002:2022; ISO/IEC 27034; ISO/IEC 42001:2023; NIST SP 800-53r5; NIST SSDF (SP 800-218); OWASP API Top 10:2023; OWASP ASVS 5.0; OWASP MASVS; OWASP SAMM 2; OWASP Top 10:2025; PCI DSS v4.0; SOC 2 (TSC)</t>
        </is>
      </c>
      <c r="Z11" s="16" t="inlineStr">
        <is>
          <t>C-APP-ERROR, C-SDLC-SAST, C-SDLC-THREAT</t>
        </is>
      </c>
      <c r="AA11" s="16" t="inlineStr">
        <is>
          <t>C-AI-GOV, C-APP-ACCESS, C-APP-INJECT, C-SDLC-QUALITY, C-SDLC-REVIEW</t>
        </is>
      </c>
      <c r="AB11" s="17" t="n">
        <v>8</v>
      </c>
      <c r="AC11" s="16" t="inlineStr">
        <is>
          <t>SonarQube Enterprise; Checkmarx SAST; Fortify SCA; Veracode Static Analysis</t>
        </is>
      </c>
      <c r="AD11" s="16" t="inlineStr">
        <is>
          <t>Semgrep; SpotBugs; Bandit; gosec; Brakeman; ESLint Security</t>
        </is>
      </c>
      <c r="AE11" s="16" t="inlineStr">
        <is>
          <t>SonarQube docs: ขั้นต่ำ 2 GB RAM ว่างสำหรับ server + 1 GB สำหรับ OS; ตัว server รัน 3 process (Web + Compute Engine + Elasticsearch) จึงควรมี 4 GB ขึ้นไป และตั้ง vm.max_map_count=524288</t>
        </is>
      </c>
      <c r="AF11" s="16" t="inlineStr">
        <is>
          <t>เป็นหัวใจของ Quality Gate; ต้องมี PostgreSQL แยก (ห้ามใช้ embedded H2 ใน production) และมี Embedded Elasticsearch อยู่ในตัว ทำให้ RAM เป็นค่าคงค้างตลอดเวลา ไม่ใช่ค่าชั่วคราว — เป็นเหตุผลหลักที่เครื่อง Orchestrator มักต้องการ RAM มากกว่าที่ประเมินไว้ตอนแรก</t>
        </is>
      </c>
    </row>
    <row r="12" ht="58" customHeight="1">
      <c r="A12" s="15" t="inlineStr">
        <is>
          <t>postgresql-tools</t>
        </is>
      </c>
      <c r="B12" s="16" t="inlineStr">
        <is>
          <t>PostgreSQL (ฐานข้อมูลของเครื่องมือ CI/CD)</t>
        </is>
      </c>
      <c r="C12" s="17" t="n">
        <v>2</v>
      </c>
      <c r="D12" s="16" t="inlineStr">
        <is>
          <t>Supporting Database</t>
        </is>
      </c>
      <c r="E12" s="17" t="inlineStr">
        <is>
          <t>Core</t>
        </is>
      </c>
      <c r="F12" s="17" t="inlineStr">
        <is>
          <t>oss</t>
        </is>
      </c>
      <c r="G12" s="17" t="inlineStr">
        <is>
          <t>PostgreSQL License</t>
        </is>
      </c>
      <c r="H12" s="17" t="n">
        <v>2</v>
      </c>
      <c r="I12" s="17" t="n">
        <v>4</v>
      </c>
      <c r="J12" s="17" t="n">
        <v>20</v>
      </c>
      <c r="K12" s="17" t="n">
        <v>4</v>
      </c>
      <c r="L12" s="17" t="n">
        <v>8</v>
      </c>
      <c r="M12" s="17" t="n">
        <v>100</v>
      </c>
      <c r="N12" s="17" t="n">
        <v>1</v>
      </c>
      <c r="O12" s="17" t="n">
        <v>3</v>
      </c>
      <c r="P12" s="17" t="inlineStr">
        <is>
          <t>resident</t>
        </is>
      </c>
      <c r="Q12" s="17" t="inlineStr">
        <is>
          <t>resident</t>
        </is>
      </c>
      <c r="R12" s="18">
        <f>INDEX('02_Freq_Weight'!$E$3:$E$9,MATCH(Q12,'02_Freq_Weight'!$A$3:$A$9,0))</f>
        <v/>
      </c>
      <c r="S12" s="17" t="n">
        <v>0.05</v>
      </c>
      <c r="T12" s="17" t="n">
        <v>2555</v>
      </c>
      <c r="U12" s="19" t="n">
        <v>0.35</v>
      </c>
      <c r="V12" s="19" t="n">
        <v>0.2</v>
      </c>
      <c r="W12" s="16" t="inlineStr">
        <is>
          <t>audit_trail</t>
        </is>
      </c>
      <c r="X12" s="16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12" s="16" t="inlineStr">
        <is>
          <t>ISO 22301:2019; ISO/IEC 27001:2022; ISO/IEC 27018; ISO/IEC 27701; ISO/IEC 42001:2023; NIST SP 800-53r5; NIST CSF 2.0; NIST SSDF (SP 800-218); SLSA v1.0; SOC 2 (TSC)</t>
        </is>
      </c>
      <c r="Z12" s="16" t="inlineStr">
        <is>
          <t>C-LOG-AUDIT</t>
        </is>
      </c>
      <c r="AA12" s="16" t="inlineStr">
        <is>
          <t>C-LOG-90, C-OPS-BCP, C-SDLC-TRACE, C-WEB-SELF</t>
        </is>
      </c>
      <c r="AB12" s="17" t="n">
        <v>5</v>
      </c>
      <c r="AC12" s="16" t="inlineStr">
        <is>
          <t>Azure Database for PostgreSQL; AWS RDS; Oracle Database</t>
        </is>
      </c>
      <c r="AD12" s="16" t="inlineStr"/>
      <c r="AE12" s="16" t="inlineStr">
        <is>
          <t>PostgreSQL ทำงานได้ที่ 1 GB แต่ shared_buffers 25% ของ RAM + work_mem ต่อ connection ทำให้ 4 GB เป็นค่าที่ปลอดภัยเมื่อรองรับ SonarQube + Jenkins</t>
        </is>
      </c>
      <c r="AF12" s="16" t="inlineStr">
        <is>
          <t>SonarQube ต้องมี PostgreSQL แยก (ห้ามใช้ embedded H2 ใน production); ถ้าเก็บ Audit Trail 7 ปีตามภาครัฐ ต้องวางแผน partition + archive</t>
        </is>
      </c>
    </row>
    <row r="13" ht="58" customHeight="1">
      <c r="A13" s="15" t="inlineStr">
        <is>
          <t>semgrep</t>
        </is>
      </c>
      <c r="B13" s="16" t="inlineStr">
        <is>
          <t>Semgrep (SAST แบบ Rule-based)</t>
        </is>
      </c>
      <c r="C13" s="17" t="n">
        <v>2</v>
      </c>
      <c r="D13" s="16" t="inlineStr">
        <is>
          <t>SAST</t>
        </is>
      </c>
      <c r="E13" s="17" t="inlineStr">
        <is>
          <t>Core</t>
        </is>
      </c>
      <c r="F13" s="17" t="inlineStr">
        <is>
          <t>oss</t>
        </is>
      </c>
      <c r="G13" s="17" t="inlineStr">
        <is>
          <t>LGPL-2.1</t>
        </is>
      </c>
      <c r="H13" s="17" t="n">
        <v>2</v>
      </c>
      <c r="I13" s="17" t="n">
        <v>4</v>
      </c>
      <c r="J13" s="17" t="n">
        <v>5</v>
      </c>
      <c r="K13" s="17" t="n">
        <v>4</v>
      </c>
      <c r="L13" s="17" t="n">
        <v>8</v>
      </c>
      <c r="M13" s="17" t="n">
        <v>20</v>
      </c>
      <c r="N13" s="17" t="n">
        <v>0</v>
      </c>
      <c r="O13" s="17" t="n">
        <v>0</v>
      </c>
      <c r="P13" s="17" t="inlineStr">
        <is>
          <t>ci_seq</t>
        </is>
      </c>
      <c r="Q13" s="17" t="inlineStr">
        <is>
          <t>per_commit</t>
        </is>
      </c>
      <c r="R13" s="18">
        <f>INDEX('02_Freq_Weight'!$E$3:$E$9,MATCH(Q13,'02_Freq_Weight'!$A$3:$A$9,0))</f>
        <v/>
      </c>
      <c r="S13" s="17" t="n">
        <v>0.02</v>
      </c>
      <c r="T13" s="17" t="n">
        <v>180</v>
      </c>
      <c r="U13" s="19" t="n">
        <v>0.05</v>
      </c>
      <c r="V13" s="19" t="n">
        <v>0.15</v>
      </c>
      <c r="W13" s="16" t="inlineStr">
        <is>
          <t>sast</t>
        </is>
      </c>
      <c r="X13" s="16" t="inlineStr">
        <is>
          <t>ขมธอ. ความมั่นคงปลอดภัยสารสนเทศ; มาตรฐานเว็บไซต์ 2568</t>
        </is>
      </c>
      <c r="Y13" s="16" t="inlineStr">
        <is>
          <t>CIS Controls v8.1; ISO/IEC 27002:2022; ISO/IEC 27034; NIST SP 800-53r5; NIST SSDF (SP 800-218); OWASP API Top 10:2023; OWASP ASVS 5.0; OWASP MASVS; OWASP SAMM 2; OWASP Top 10:2025; PCI DSS v4.0</t>
        </is>
      </c>
      <c r="Z13" s="16" t="inlineStr">
        <is>
          <t>C-SDLC-SAST</t>
        </is>
      </c>
      <c r="AA13" s="16" t="inlineStr">
        <is>
          <t>C-APP-ACCESS, C-APP-ERROR, C-APP-INJECT</t>
        </is>
      </c>
      <c r="AB13" s="17" t="n">
        <v>4</v>
      </c>
      <c r="AC13" s="16" t="inlineStr">
        <is>
          <t>Semgrep Enterprise; Checkmarx SAST; Fortify SCA; CodeQL (GitHub Advanced Security)</t>
        </is>
      </c>
      <c r="AD13" s="16" t="inlineStr"/>
      <c r="AE13" s="16" t="inlineStr">
        <is>
          <t>Semgrep แนะนำ ~4 GB RAM สำหรับ repo ขนาดกลาง; RAM ขึ้นกับขนาดไฟล์ที่ใหญ่สุด ไม่ใช่จำนวนไฟล์</t>
        </is>
      </c>
      <c r="AF13" s="16" t="inlineStr">
        <is>
          <t>เร็วกว่า SonarQube หลายเท่า เหมาะรันทุก commit เป็น Fast Gate แล้วปล่อย SonarQube รันรอบ nightly</t>
        </is>
      </c>
    </row>
    <row r="14" ht="58" customHeight="1">
      <c r="A14" s="15" t="inlineStr">
        <is>
          <t>gitleaks</t>
        </is>
      </c>
      <c r="B14" s="16" t="inlineStr">
        <is>
          <t>GitLeaks / TruffleHog (Secret Scanning)</t>
        </is>
      </c>
      <c r="C14" s="17" t="n">
        <v>2</v>
      </c>
      <c r="D14" s="16" t="inlineStr">
        <is>
          <t>Secret Scanning</t>
        </is>
      </c>
      <c r="E14" s="17" t="inlineStr">
        <is>
          <t>Core</t>
        </is>
      </c>
      <c r="F14" s="17" t="inlineStr">
        <is>
          <t>oss</t>
        </is>
      </c>
      <c r="G14" s="17" t="inlineStr">
        <is>
          <t>MIT</t>
        </is>
      </c>
      <c r="H14" s="17" t="n">
        <v>1</v>
      </c>
      <c r="I14" s="17" t="n">
        <v>2</v>
      </c>
      <c r="J14" s="17" t="n">
        <v>3</v>
      </c>
      <c r="K14" s="17" t="n">
        <v>2</v>
      </c>
      <c r="L14" s="17" t="n">
        <v>4</v>
      </c>
      <c r="M14" s="17" t="n">
        <v>10</v>
      </c>
      <c r="N14" s="17" t="n">
        <v>0</v>
      </c>
      <c r="O14" s="17" t="n">
        <v>0</v>
      </c>
      <c r="P14" s="17" t="inlineStr">
        <is>
          <t>ci_seq</t>
        </is>
      </c>
      <c r="Q14" s="17" t="inlineStr">
        <is>
          <t>per_commit</t>
        </is>
      </c>
      <c r="R14" s="18">
        <f>INDEX('02_Freq_Weight'!$E$3:$E$9,MATCH(Q14,'02_Freq_Weight'!$A$3:$A$9,0))</f>
        <v/>
      </c>
      <c r="S14" s="17" t="n">
        <v>0.01</v>
      </c>
      <c r="T14" s="17" t="n">
        <v>365</v>
      </c>
      <c r="U14" s="19" t="n">
        <v>0.05</v>
      </c>
      <c r="V14" s="19" t="n">
        <v>0.1</v>
      </c>
      <c r="W14" s="16" t="inlineStr">
        <is>
          <t>secret_scan</t>
        </is>
      </c>
      <c r="X14" s="16" t="inlineStr">
        <is>
          <t>PDPA 2562</t>
        </is>
      </c>
      <c r="Y14" s="16" t="inlineStr">
        <is>
          <t>ISO/IEC 27002:2022; ISO/IEC 27018; ISO/IEC 27701; ISO/IEC 29100</t>
        </is>
      </c>
      <c r="Z14" s="16" t="inlineStr">
        <is>
          <t>-</t>
        </is>
      </c>
      <c r="AA14" s="16" t="inlineStr">
        <is>
          <t>C-PRV-MINIMIZE, C-SDLC-SECRET</t>
        </is>
      </c>
      <c r="AB14" s="17" t="n">
        <v>2</v>
      </c>
      <c r="AC14" s="16" t="inlineStr">
        <is>
          <t>GitHub Advanced Security Secret Scanning; GitLab Ultimate Secret Detection; HashiCorp Vault Radar</t>
        </is>
      </c>
      <c r="AD14" s="16" t="inlineStr"/>
      <c r="AE14" s="16" t="inlineStr">
        <is>
          <t>GitLeaks เป็น Go binary สแกน git history ด้วย regex/entropy; RAM ~200-500 MB ต่อ repo ขนาดกลาง</t>
        </is>
      </c>
      <c r="AF14" s="16" t="inlineStr">
        <is>
          <t>ต้องตั้งเป็น Blocking Gate (พบ = หยุด Pipeline) ตาม PDPA-R3; ควรติดตั้ง pre-commit hook ที่ฝั่ง Developer ด้วย</t>
        </is>
      </c>
    </row>
    <row r="15" ht="58" customHeight="1">
      <c r="A15" s="15" t="inlineStr">
        <is>
          <t>dependency-check</t>
        </is>
      </c>
      <c r="B15" s="16" t="inlineStr">
        <is>
          <t>OWASP Dependency-Check (SCA)</t>
        </is>
      </c>
      <c r="C15" s="17" t="n">
        <v>2</v>
      </c>
      <c r="D15" s="16" t="inlineStr">
        <is>
          <t>Software Composition Analysis</t>
        </is>
      </c>
      <c r="E15" s="17" t="inlineStr">
        <is>
          <t>Optional</t>
        </is>
      </c>
      <c r="F15" s="17" t="inlineStr">
        <is>
          <t>oss</t>
        </is>
      </c>
      <c r="G15" s="17" t="inlineStr">
        <is>
          <t>Apache-2.0</t>
        </is>
      </c>
      <c r="H15" s="17" t="n">
        <v>2</v>
      </c>
      <c r="I15" s="17" t="n">
        <v>4</v>
      </c>
      <c r="J15" s="17" t="n">
        <v>15</v>
      </c>
      <c r="K15" s="17" t="n">
        <v>4</v>
      </c>
      <c r="L15" s="17" t="n">
        <v>8</v>
      </c>
      <c r="M15" s="17" t="n">
        <v>40</v>
      </c>
      <c r="N15" s="17" t="n">
        <v>0</v>
      </c>
      <c r="O15" s="17" t="n">
        <v>0.5</v>
      </c>
      <c r="P15" s="17" t="inlineStr">
        <is>
          <t>async</t>
        </is>
      </c>
      <c r="Q15" s="17" t="inlineStr">
        <is>
          <t>nightly</t>
        </is>
      </c>
      <c r="R15" s="18">
        <f>INDEX('02_Freq_Weight'!$E$3:$E$9,MATCH(Q15,'02_Freq_Weight'!$A$3:$A$9,0))</f>
        <v/>
      </c>
      <c r="S15" s="17" t="n">
        <v>0.05</v>
      </c>
      <c r="T15" s="17" t="n">
        <v>365</v>
      </c>
      <c r="U15" s="19" t="n">
        <v>0.1</v>
      </c>
      <c r="V15" s="19" t="n">
        <v>0.15</v>
      </c>
      <c r="W15" s="16" t="inlineStr">
        <is>
          <t>sca, sbom</t>
        </is>
      </c>
      <c r="X15" s="16" t="inlineStr">
        <is>
          <t>มาตรฐานขั้นต่ำ 2566</t>
        </is>
      </c>
      <c r="Y15" s="16" t="inlineStr">
        <is>
          <t>CIS Controls v8.1; CSA CCM v4 / STAR; CycloneDX / ECMA-424; ISO/IEC 27002:2022; NIST SP 800-161r1; NIST SSDF (SP 800-218); OWASP Top 10:2025; PCI DSS v4.0; SLSA v1.0; SPDX / ISO 5962</t>
        </is>
      </c>
      <c r="Z15" s="16" t="inlineStr">
        <is>
          <t>C-SC-SBOM, C-SC-SCA</t>
        </is>
      </c>
      <c r="AA15" s="16" t="inlineStr">
        <is>
          <t>-</t>
        </is>
      </c>
      <c r="AB15" s="17" t="n">
        <v>2</v>
      </c>
      <c r="AC15" s="16" t="inlineStr">
        <is>
          <t>Snyk Enterprise; BlackDuck (Synopsys); JFrog Xray; Sonatype Nexus Lifecycle; Mend (WhiteSource)</t>
        </is>
      </c>
      <c r="AD15" s="16" t="inlineStr">
        <is>
          <t>Trivy; Grype (Anchore); Dependency-Track; OSV-Scanner</t>
        </is>
      </c>
      <c r="AE15" s="16" t="inlineStr">
        <is>
          <t>Dependency-Check ต้องดาวน์โหลดและ cache NVD CVE Database (~2-8 GB) และแนะนำ JVM heap 4 GB; รอบแรกใช้เวลา 20-60 นาที</t>
        </is>
      </c>
      <c r="AF15" s="16" t="inlineStr">
        <is>
          <t>ควรย้ายไปรันรอบ nightly เพราะช้า และตั้ง NVD_API_KEY + local mirror เพื่อรองรับ Air-gapped ตามภาครัฐ</t>
        </is>
      </c>
    </row>
    <row r="16" ht="58" customHeight="1">
      <c r="A16" s="15" t="inlineStr">
        <is>
          <t>trivy</t>
        </is>
      </c>
      <c r="B16" s="16" t="inlineStr">
        <is>
          <t>Trivy (SCA + Container + IaC + Secret ในตัวเดียว)</t>
        </is>
      </c>
      <c r="C16" s="17" t="n">
        <v>2</v>
      </c>
      <c r="D16" s="16" t="inlineStr">
        <is>
          <t>Multi-purpose Scanner</t>
        </is>
      </c>
      <c r="E16" s="17" t="inlineStr">
        <is>
          <t>Core</t>
        </is>
      </c>
      <c r="F16" s="17" t="inlineStr">
        <is>
          <t>oss</t>
        </is>
      </c>
      <c r="G16" s="17" t="inlineStr">
        <is>
          <t>Apache-2.0</t>
        </is>
      </c>
      <c r="H16" s="17" t="n">
        <v>2</v>
      </c>
      <c r="I16" s="17" t="n">
        <v>2</v>
      </c>
      <c r="J16" s="17" t="n">
        <v>10</v>
      </c>
      <c r="K16" s="17" t="n">
        <v>2</v>
      </c>
      <c r="L16" s="17" t="n">
        <v>4</v>
      </c>
      <c r="M16" s="17" t="n">
        <v>30</v>
      </c>
      <c r="N16" s="17" t="n">
        <v>0</v>
      </c>
      <c r="O16" s="17" t="n">
        <v>0</v>
      </c>
      <c r="P16" s="17" t="inlineStr">
        <is>
          <t>ci_seq</t>
        </is>
      </c>
      <c r="Q16" s="17" t="inlineStr">
        <is>
          <t>per_build</t>
        </is>
      </c>
      <c r="R16" s="18">
        <f>INDEX('02_Freq_Weight'!$E$3:$E$9,MATCH(Q16,'02_Freq_Weight'!$A$3:$A$9,0))</f>
        <v/>
      </c>
      <c r="S16" s="17" t="n">
        <v>0.03</v>
      </c>
      <c r="T16" s="17" t="n">
        <v>365</v>
      </c>
      <c r="U16" s="19" t="n">
        <v>0.05</v>
      </c>
      <c r="V16" s="19" t="n">
        <v>0.15</v>
      </c>
      <c r="W16" s="16" t="inlineStr">
        <is>
          <t>sca, container_scan, iac_scan, secret_scan, sbom</t>
        </is>
      </c>
      <c r="X16" s="16" t="inlineStr">
        <is>
          <t>มาตรฐานคลาวด์ 2567; มาตรฐานขั้นต่ำ 2566; PDPA 2562</t>
        </is>
      </c>
      <c r="Y16" s="16" t="inlineStr">
        <is>
          <t>CIS Benchmarks; CIS Controls v8.1; CSA CCM v4 / STAR; CycloneDX / ECMA-424; ISO/IEC 27002:2022; ISO/IEC 27018; ISO/IEC 27701; ISO/IEC 29100; NIST SP 800-161r1; NIST SSDF (SP 800-218); OWASP Top 10:2025; PCI DSS v4.0; SLSA v1.0; SPDX / ISO 5962</t>
        </is>
      </c>
      <c r="Z16" s="16" t="inlineStr">
        <is>
          <t>C-OPS-IAC, C-SC-CONTAINER, C-SC-SBOM, C-SC-SCA</t>
        </is>
      </c>
      <c r="AA16" s="16" t="inlineStr">
        <is>
          <t>C-PRV-MINIMIZE, C-SDLC-SECRET</t>
        </is>
      </c>
      <c r="AB16" s="17" t="n">
        <v>6</v>
      </c>
      <c r="AC16" s="16" t="inlineStr">
        <is>
          <t>Aqua Container Security; Prisma Cloud (Twistlock); Snyk Container; JFrog Xray</t>
        </is>
      </c>
      <c r="AD16" s="16" t="inlineStr"/>
      <c r="AE16" s="16" t="inlineStr">
        <is>
          <t>Trivy เป็น Go binary; vulnerability DB cache ~1-3 GB, Java DB เพิ่มอีก ~1-2 GB; RAM ปกติ &lt; 1 GB แต่ image ใหญ่อาจถึง 2 GB</t>
        </is>
      </c>
      <c r="AF16" s="16" t="inlineStr">
        <is>
          <t>คุ้มค่าที่สุดต่อ resource เพราะทำได้ 5 หน้าที่ในตัวเดียว ลดจำนวนเครื่องมือที่ต้องแชร์เครื่อง — แนะนำเป็นตัวหลักเมื่อ VM จำกัด</t>
        </is>
      </c>
    </row>
    <row r="17" ht="58" customHeight="1">
      <c r="A17" s="15" t="inlineStr">
        <is>
          <t>fossology</t>
        </is>
      </c>
      <c r="B17" s="16" t="inlineStr">
        <is>
          <t>FOSSology / ScanCode (License Compliance)</t>
        </is>
      </c>
      <c r="C17" s="17" t="n">
        <v>2</v>
      </c>
      <c r="D17" s="16" t="inlineStr">
        <is>
          <t>License Compliance</t>
        </is>
      </c>
      <c r="E17" s="17" t="inlineStr">
        <is>
          <t>Optional</t>
        </is>
      </c>
      <c r="F17" s="17" t="inlineStr">
        <is>
          <t>oss</t>
        </is>
      </c>
      <c r="G17" s="17" t="inlineStr">
        <is>
          <t>GPL-2.0</t>
        </is>
      </c>
      <c r="H17" s="17" t="n">
        <v>4</v>
      </c>
      <c r="I17" s="17" t="n">
        <v>8</v>
      </c>
      <c r="J17" s="17" t="n">
        <v>30</v>
      </c>
      <c r="K17" s="17" t="n">
        <v>4</v>
      </c>
      <c r="L17" s="17" t="n">
        <v>8</v>
      </c>
      <c r="M17" s="17" t="n">
        <v>100</v>
      </c>
      <c r="N17" s="17" t="n">
        <v>1</v>
      </c>
      <c r="O17" s="17" t="n">
        <v>2</v>
      </c>
      <c r="P17" s="17" t="inlineStr">
        <is>
          <t>resident</t>
        </is>
      </c>
      <c r="Q17" s="17" t="inlineStr">
        <is>
          <t>weekly</t>
        </is>
      </c>
      <c r="R17" s="18">
        <f>INDEX('02_Freq_Weight'!$E$3:$E$9,MATCH(Q17,'02_Freq_Weight'!$A$3:$A$9,0))</f>
        <v/>
      </c>
      <c r="S17" s="17" t="n">
        <v>0.05</v>
      </c>
      <c r="T17" s="17" t="n">
        <v>730</v>
      </c>
      <c r="U17" s="19" t="n">
        <v>0.2</v>
      </c>
      <c r="V17" s="19" t="n">
        <v>0.1</v>
      </c>
      <c r="W17" s="16" t="inlineStr">
        <is>
          <t>license</t>
        </is>
      </c>
      <c r="X17" s="16" t="inlineStr">
        <is>
          <t>-</t>
        </is>
      </c>
      <c r="Y17" s="16" t="inlineStr">
        <is>
          <t>ISO/IEC 27001:2022; NIST SP 800-161r1; SPDX / ISO 5962</t>
        </is>
      </c>
      <c r="Z17" s="16" t="inlineStr">
        <is>
          <t>C-SC-LICENSE</t>
        </is>
      </c>
      <c r="AA17" s="16" t="inlineStr">
        <is>
          <t>-</t>
        </is>
      </c>
      <c r="AB17" s="17" t="n">
        <v>1</v>
      </c>
      <c r="AC17" s="16" t="inlineStr">
        <is>
          <t>BlackDuck License Compliance; FOSSA Enterprise; Mend (WhiteSource); Snyk License</t>
        </is>
      </c>
      <c r="AD17" s="16" t="inlineStr">
        <is>
          <t>ScanCode Toolkit; License Finder; Licensee; REUSE</t>
        </is>
      </c>
      <c r="AE17" s="16" t="inlineStr">
        <is>
          <t>FOSSology เป็น web app + PostgreSQL + scheduler; เอกสารแนะนำ 4 GB RAM ขึ้นไป และ CPU มากขึ้นตามจำนวน agent ที่รันขนาน</t>
        </is>
      </c>
      <c r="AF17" s="16" t="inlineStr">
        <is>
          <t>ภาครัฐบังคับ 'ห้ามใช้ GPL/AGPL' — ควรรัน ScanCode Toolkit (เบากว่า, ephemeral) ทุก build และเก็บ FOSSology ไว้ทำ audit รายสัปดาห์แทน</t>
        </is>
      </c>
    </row>
    <row r="18" ht="58" customHeight="1">
      <c r="A18" s="15" t="inlineStr">
        <is>
          <t>linters</t>
        </is>
      </c>
      <c r="B18" s="16" t="inlineStr">
        <is>
          <t>Linters (ESLint / Pylint / golangci-lint / RuboCop)</t>
        </is>
      </c>
      <c r="C18" s="17" t="n">
        <v>2</v>
      </c>
      <c r="D18" s="16" t="inlineStr">
        <is>
          <t>Code Quality</t>
        </is>
      </c>
      <c r="E18" s="17" t="inlineStr">
        <is>
          <t>Optional</t>
        </is>
      </c>
      <c r="F18" s="17" t="inlineStr">
        <is>
          <t>oss</t>
        </is>
      </c>
      <c r="G18" s="17" t="inlineStr">
        <is>
          <t>MIT</t>
        </is>
      </c>
      <c r="H18" s="17" t="n">
        <v>1</v>
      </c>
      <c r="I18" s="17" t="n">
        <v>2</v>
      </c>
      <c r="J18" s="17" t="n">
        <v>3</v>
      </c>
      <c r="K18" s="17" t="n">
        <v>2</v>
      </c>
      <c r="L18" s="17" t="n">
        <v>4</v>
      </c>
      <c r="M18" s="17" t="n">
        <v>10</v>
      </c>
      <c r="N18" s="17" t="n">
        <v>0</v>
      </c>
      <c r="O18" s="17" t="n">
        <v>0</v>
      </c>
      <c r="P18" s="17" t="inlineStr">
        <is>
          <t>ci_seq</t>
        </is>
      </c>
      <c r="Q18" s="17" t="inlineStr">
        <is>
          <t>per_commit</t>
        </is>
      </c>
      <c r="R18" s="18">
        <f>INDEX('02_Freq_Weight'!$E$3:$E$9,MATCH(Q18,'02_Freq_Weight'!$A$3:$A$9,0))</f>
        <v/>
      </c>
      <c r="S18" s="17" t="n">
        <v>0.01</v>
      </c>
      <c r="T18" s="17" t="n">
        <v>90</v>
      </c>
      <c r="U18" s="19" t="n">
        <v>0.05</v>
      </c>
      <c r="V18" s="19" t="n">
        <v>0.1</v>
      </c>
      <c r="W18" s="16" t="inlineStr">
        <is>
          <t>code_quality</t>
        </is>
      </c>
      <c r="X18" s="16" t="inlineStr">
        <is>
          <t>-</t>
        </is>
      </c>
      <c r="Y18" s="16" t="inlineStr">
        <is>
          <t>ISO/IEC 25010:2023; ISO/IEC 27001:2022; ISO/IEC 27034; OWASP ASVS 5.0; OWASP MASVS; OWASP SAMM 2; OWASP Top 10:2025</t>
        </is>
      </c>
      <c r="Z18" s="16" t="inlineStr">
        <is>
          <t>-</t>
        </is>
      </c>
      <c r="AA18" s="16" t="inlineStr">
        <is>
          <t>C-APP-ERROR, C-SDLC-QUALITY, C-SDLC-THREAT</t>
        </is>
      </c>
      <c r="AB18" s="17" t="n">
        <v>3</v>
      </c>
      <c r="AC18" s="16" t="inlineStr">
        <is>
          <t>SonarQube Enterprise; CodeClimate Enterprise; Codacy Enterprise</t>
        </is>
      </c>
      <c r="AD18" s="16" t="inlineStr"/>
      <c r="AE18" s="16" t="inlineStr">
        <is>
          <t>Linter ทำงานใน process เดียว ใช้ RAM 200 MB - 1 GB ตามขนาด codebase; golangci-lint อาจถึง 2 GB บน monorepo</t>
        </is>
      </c>
      <c r="AF18" s="16" t="inlineStr">
        <is>
          <t>ควรรันบน Runner ของผู้ให้บริการ Git ก่อนส่ง Webhook เข้า Orchestrator ในองค์กร เพื่อไม่กินทรัพยากร VM ที่หน่วยงานต้องจัดหาเอง</t>
        </is>
      </c>
    </row>
    <row r="19" ht="58" customHeight="1">
      <c r="A19" s="20" t="inlineStr">
        <is>
          <t>maven-gradle</t>
        </is>
      </c>
      <c r="B19" s="21" t="inlineStr">
        <is>
          <t>Maven / Gradle / npm / pip (Build &amp; Compilation)</t>
        </is>
      </c>
      <c r="C19" s="22" t="n">
        <v>3</v>
      </c>
      <c r="D19" s="21" t="inlineStr">
        <is>
          <t>Build &amp; Compilation</t>
        </is>
      </c>
      <c r="E19" s="22" t="inlineStr">
        <is>
          <t>Core</t>
        </is>
      </c>
      <c r="F19" s="22" t="inlineStr">
        <is>
          <t>oss</t>
        </is>
      </c>
      <c r="G19" s="22" t="inlineStr">
        <is>
          <t>Apache-2.0</t>
        </is>
      </c>
      <c r="H19" s="22" t="n">
        <v>2</v>
      </c>
      <c r="I19" s="22" t="n">
        <v>4</v>
      </c>
      <c r="J19" s="22" t="n">
        <v>40</v>
      </c>
      <c r="K19" s="22" t="n">
        <v>4</v>
      </c>
      <c r="L19" s="22" t="n">
        <v>8</v>
      </c>
      <c r="M19" s="22" t="n">
        <v>120</v>
      </c>
      <c r="N19" s="22" t="n">
        <v>0</v>
      </c>
      <c r="O19" s="22" t="n">
        <v>0</v>
      </c>
      <c r="P19" s="22" t="inlineStr">
        <is>
          <t>ci_seq</t>
        </is>
      </c>
      <c r="Q19" s="22" t="inlineStr">
        <is>
          <t>per_commit</t>
        </is>
      </c>
      <c r="R19" s="23">
        <f>INDEX('02_Freq_Weight'!$E$3:$E$9,MATCH(Q19,'02_Freq_Weight'!$A$3:$A$9,0))</f>
        <v/>
      </c>
      <c r="S19" s="22" t="n">
        <v>0.3</v>
      </c>
      <c r="T19" s="22" t="n">
        <v>30</v>
      </c>
      <c r="U19" s="24" t="n">
        <v>0.05</v>
      </c>
      <c r="V19" s="24" t="n">
        <v>0.2</v>
      </c>
      <c r="W19" s="21" t="inlineStr">
        <is>
          <t>build</t>
        </is>
      </c>
      <c r="X19" s="21" t="inlineStr">
        <is>
          <t>-</t>
        </is>
      </c>
      <c r="Y19" s="21" t="inlineStr">
        <is>
          <t>CIS Benchmarks; NIST SSDF (SP 800-218); OWASP Top 10:2025; SLSA v1.0</t>
        </is>
      </c>
      <c r="Z19" s="21" t="inlineStr">
        <is>
          <t>-</t>
        </is>
      </c>
      <c r="AA19" s="21" t="inlineStr">
        <is>
          <t>C-SC-IMG, C-SC-PIN</t>
        </is>
      </c>
      <c r="AB19" s="22" t="n">
        <v>2</v>
      </c>
      <c r="AC19" s="21" t="inlineStr">
        <is>
          <t>JFrog Artifactory (with Maven/Gradle); Azure DevOps Build; AWS CodeBuild; CloudBees Build</t>
        </is>
      </c>
      <c r="AD19" s="21" t="inlineStr"/>
      <c r="AE19" s="21" t="inlineStr">
        <is>
          <t>Gradle daemon ตั้ง heap 1-2 GB โดยปริยาย; Maven fork JVM ต่อ module; local cache ~/.m2 หรือ ~/.gradle โต 5-20 GB และ node_modules 1-3 GB ต่อโปรเจกต์</t>
        </is>
      </c>
      <c r="AF19" s="21" t="inlineStr">
        <is>
          <t>อย่าลืมกัน disk ให้ dependency cache — เป็นสาเหตุ 'disk full' อันดับ 1 บนเครื่อง Agent; ควรตั้ง cache cleanup รายสัปดาห์</t>
        </is>
      </c>
    </row>
    <row r="20" ht="58" customHeight="1">
      <c r="A20" s="20" t="inlineStr">
        <is>
          <t>docker-buildkit</t>
        </is>
      </c>
      <c r="B20" s="21" t="inlineStr">
        <is>
          <t>Docker Engine / BuildKit (Container Image Builder)</t>
        </is>
      </c>
      <c r="C20" s="22" t="n">
        <v>3</v>
      </c>
      <c r="D20" s="21" t="inlineStr">
        <is>
          <t>Container Image Builder</t>
        </is>
      </c>
      <c r="E20" s="22" t="inlineStr">
        <is>
          <t>Core</t>
        </is>
      </c>
      <c r="F20" s="22" t="inlineStr">
        <is>
          <t>oss</t>
        </is>
      </c>
      <c r="G20" s="22" t="inlineStr">
        <is>
          <t>Apache-2.0</t>
        </is>
      </c>
      <c r="H20" s="22" t="n">
        <v>2</v>
      </c>
      <c r="I20" s="22" t="n">
        <v>4</v>
      </c>
      <c r="J20" s="22" t="n">
        <v>100</v>
      </c>
      <c r="K20" s="22" t="n">
        <v>4</v>
      </c>
      <c r="L20" s="22" t="n">
        <v>8</v>
      </c>
      <c r="M20" s="22" t="n">
        <v>300</v>
      </c>
      <c r="N20" s="22" t="n">
        <v>1</v>
      </c>
      <c r="O20" s="22" t="n">
        <v>0.5</v>
      </c>
      <c r="P20" s="22" t="inlineStr">
        <is>
          <t>ci_seq</t>
        </is>
      </c>
      <c r="Q20" s="22" t="inlineStr">
        <is>
          <t>per_commit</t>
        </is>
      </c>
      <c r="R20" s="23">
        <f>INDEX('02_Freq_Weight'!$E$3:$E$9,MATCH(Q20,'02_Freq_Weight'!$A$3:$A$9,0))</f>
        <v/>
      </c>
      <c r="S20" s="22" t="n">
        <v>2</v>
      </c>
      <c r="T20" s="22" t="n">
        <v>21</v>
      </c>
      <c r="U20" s="24" t="n">
        <v>0.1</v>
      </c>
      <c r="V20" s="24" t="n">
        <v>0.2</v>
      </c>
      <c r="W20" s="21" t="inlineStr">
        <is>
          <t>image_build, build</t>
        </is>
      </c>
      <c r="X20" s="21" t="inlineStr">
        <is>
          <t>-</t>
        </is>
      </c>
      <c r="Y20" s="21" t="inlineStr">
        <is>
          <t>CIS Benchmarks; NIST SSDF (SP 800-218); OWASP Top 10:2025; SLSA v1.0</t>
        </is>
      </c>
      <c r="Z20" s="21" t="inlineStr">
        <is>
          <t>C-SC-IMG</t>
        </is>
      </c>
      <c r="AA20" s="21" t="inlineStr">
        <is>
          <t>C-SC-PIN</t>
        </is>
      </c>
      <c r="AB20" s="22" t="n">
        <v>2</v>
      </c>
      <c r="AC20" s="21" t="inlineStr">
        <is>
          <t>Google Cloud Build; Azure Container Registry Build; Red Hat Quay Build; AWS CodeBuild</t>
        </is>
      </c>
      <c r="AD20" s="21" t="inlineStr">
        <is>
          <t>Kaniko; Buildah; Podman; Cloud Native Buildpacks; img; ko</t>
        </is>
      </c>
      <c r="AE20" s="21" t="inlineStr">
        <is>
          <t>Docker daemon idle ~200-400 MB; multi-stage build ของ Java/Node ใช้ 2-4 GB ตอน compile layer; image layer cache เป็นตัวกิน disk หลัก</t>
        </is>
      </c>
      <c r="AF20" s="21" t="inlineStr">
        <is>
          <t>จุดเสี่ยงหลักคือ Disk ไม่ใช่ RAM — layer cache + dangling image โต 2-5 GB/วัน ต้องตั้ง `docker system prune` เป็น cron; ถ้าต้องการ Rootless Build ตามข้อกำหนดภาครัฐให้ใช้ Kaniko/Buildah แทน</t>
        </is>
      </c>
    </row>
    <row r="21" ht="58" customHeight="1">
      <c r="A21" s="20" t="inlineStr">
        <is>
          <t>checkov</t>
        </is>
      </c>
      <c r="B21" s="21" t="inlineStr">
        <is>
          <t>Checkov / tfsec / KubeLinter (IaC Validation)</t>
        </is>
      </c>
      <c r="C21" s="22" t="n">
        <v>3</v>
      </c>
      <c r="D21" s="21" t="inlineStr">
        <is>
          <t>IaC Validation</t>
        </is>
      </c>
      <c r="E21" s="22" t="inlineStr">
        <is>
          <t>Optional</t>
        </is>
      </c>
      <c r="F21" s="22" t="inlineStr">
        <is>
          <t>oss</t>
        </is>
      </c>
      <c r="G21" s="22" t="inlineStr">
        <is>
          <t>Apache-2.0</t>
        </is>
      </c>
      <c r="H21" s="22" t="n">
        <v>1</v>
      </c>
      <c r="I21" s="22" t="n">
        <v>2</v>
      </c>
      <c r="J21" s="22" t="n">
        <v>5</v>
      </c>
      <c r="K21" s="22" t="n">
        <v>2</v>
      </c>
      <c r="L21" s="22" t="n">
        <v>4</v>
      </c>
      <c r="M21" s="22" t="n">
        <v>15</v>
      </c>
      <c r="N21" s="22" t="n">
        <v>0</v>
      </c>
      <c r="O21" s="22" t="n">
        <v>0</v>
      </c>
      <c r="P21" s="22" t="inlineStr">
        <is>
          <t>ci_seq</t>
        </is>
      </c>
      <c r="Q21" s="22" t="inlineStr">
        <is>
          <t>per_build</t>
        </is>
      </c>
      <c r="R21" s="23">
        <f>INDEX('02_Freq_Weight'!$E$3:$E$9,MATCH(Q21,'02_Freq_Weight'!$A$3:$A$9,0))</f>
        <v/>
      </c>
      <c r="S21" s="22" t="n">
        <v>0.01</v>
      </c>
      <c r="T21" s="22" t="n">
        <v>365</v>
      </c>
      <c r="U21" s="24" t="n">
        <v>0.05</v>
      </c>
      <c r="V21" s="24" t="n">
        <v>0.1</v>
      </c>
      <c r="W21" s="21" t="inlineStr">
        <is>
          <t>iac_scan</t>
        </is>
      </c>
      <c r="X21" s="21" t="inlineStr">
        <is>
          <t>มาตรฐานคลาวด์ 2567</t>
        </is>
      </c>
      <c r="Y21" s="21" t="inlineStr">
        <is>
          <t>CIS Benchmarks; OWASP Top 10:2025</t>
        </is>
      </c>
      <c r="Z21" s="21" t="inlineStr">
        <is>
          <t>C-OPS-IAC</t>
        </is>
      </c>
      <c r="AA21" s="21" t="inlineStr">
        <is>
          <t>-</t>
        </is>
      </c>
      <c r="AB21" s="22" t="n">
        <v>1</v>
      </c>
      <c r="AC21" s="21" t="inlineStr">
        <is>
          <t>Prisma Cloud IaC Scanning; Snyk IaC Enterprise; Bridgecrew</t>
        </is>
      </c>
      <c r="AD21" s="21" t="inlineStr"/>
      <c r="AE21" s="21" t="inlineStr">
        <is>
          <t>Checkov เป็น Python CLI ใช้ RAM 300 MB - 1.5 GB ตามจำนวนไฟล์ Terraform/K8s; ephemeral ทั้งหมด</t>
        </is>
      </c>
      <c r="AF21" s="21" t="inlineStr">
        <is>
          <t>ภาครัฐกำหนดเป็น Mandatory (ตาม OWASP A02 + CLOUD2567-R1) — ตรวจ Security Group เปิดกว้าง, ไม่มี Resource Limits, ไม่ได้เข้ารหัส Volume</t>
        </is>
      </c>
    </row>
    <row r="22" ht="58" customHeight="1">
      <c r="A22" s="20" t="inlineStr">
        <is>
          <t>cosign</t>
        </is>
      </c>
      <c r="B22" s="21" t="inlineStr">
        <is>
          <t>Sigstore Cosign / Notary v2 (Artifact Signing)</t>
        </is>
      </c>
      <c r="C22" s="22" t="n">
        <v>3</v>
      </c>
      <c r="D22" s="21" t="inlineStr">
        <is>
          <t>Artifact Signing</t>
        </is>
      </c>
      <c r="E22" s="22" t="inlineStr">
        <is>
          <t>Optional</t>
        </is>
      </c>
      <c r="F22" s="22" t="inlineStr">
        <is>
          <t>oss</t>
        </is>
      </c>
      <c r="G22" s="22" t="inlineStr">
        <is>
          <t>Apache-2.0</t>
        </is>
      </c>
      <c r="H22" s="22" t="n">
        <v>1</v>
      </c>
      <c r="I22" s="22" t="n">
        <v>2</v>
      </c>
      <c r="J22" s="22" t="n">
        <v>5</v>
      </c>
      <c r="K22" s="22" t="n">
        <v>1</v>
      </c>
      <c r="L22" s="22" t="n">
        <v>2</v>
      </c>
      <c r="M22" s="22" t="n">
        <v>10</v>
      </c>
      <c r="N22" s="22" t="n">
        <v>0</v>
      </c>
      <c r="O22" s="22" t="n">
        <v>0</v>
      </c>
      <c r="P22" s="22" t="inlineStr">
        <is>
          <t>ci_seq</t>
        </is>
      </c>
      <c r="Q22" s="22" t="inlineStr">
        <is>
          <t>per_build</t>
        </is>
      </c>
      <c r="R22" s="23">
        <f>INDEX('02_Freq_Weight'!$E$3:$E$9,MATCH(Q22,'02_Freq_Weight'!$A$3:$A$9,0))</f>
        <v/>
      </c>
      <c r="S22" s="22" t="n">
        <v>0.01</v>
      </c>
      <c r="T22" s="22" t="n">
        <v>2555</v>
      </c>
      <c r="U22" s="24" t="n">
        <v>0.05</v>
      </c>
      <c r="V22" s="24" t="n">
        <v>0.1</v>
      </c>
      <c r="W22" s="21" t="inlineStr">
        <is>
          <t>artifact_sign</t>
        </is>
      </c>
      <c r="X22" s="21" t="inlineStr">
        <is>
          <t>ขมธอ. ลายมือชื่อ/เอกสารอิเล็กทรอนิกส์</t>
        </is>
      </c>
      <c r="Y22" s="21" t="inlineStr">
        <is>
          <t>ISO/IEC 42001:2023; NIST SP 800-161r1; NIST SSDF (SP 800-218); OWASP Top 10:2025; SLSA v1.0</t>
        </is>
      </c>
      <c r="Z22" s="21" t="inlineStr">
        <is>
          <t>C-SC-SIGN</t>
        </is>
      </c>
      <c r="AA22" s="21" t="inlineStr">
        <is>
          <t>C-AI-GOV</t>
        </is>
      </c>
      <c r="AB22" s="22" t="n">
        <v>2</v>
      </c>
      <c r="AC22" s="21" t="inlineStr">
        <is>
          <t>Azure Code Signing; AWS Signer; Venafi CodeSign Protect; Google Binary Authorization</t>
        </is>
      </c>
      <c r="AD22" s="21" t="inlineStr"/>
      <c r="AE22" s="21" t="inlineStr">
        <is>
          <t>Cosign เป็น Go binary ใช้ RAM &lt; 300 MB; ต้องมีที่เก็บ key อย่างปลอดภัย (KMS/Vault) และ Rekor transparency log ถ้าต้องการ</t>
        </is>
      </c>
      <c r="AF22" s="21" t="inlineStr">
        <is>
          <t>ภาครัฐกำหนด Mandatory ตาม OWASP A08 + NIST SSDF — ต้อง Verify signature ก่อน Pull มา Deploy ทุกครั้ง ไม่ใช่แค่ Sign</t>
        </is>
      </c>
    </row>
    <row r="23" ht="58" customHeight="1">
      <c r="A23" s="20" t="inlineStr">
        <is>
          <t>syft</t>
        </is>
      </c>
      <c r="B23" s="21" t="inlineStr">
        <is>
          <t>Syft / CycloneDX CLI (SBOM Generation)</t>
        </is>
      </c>
      <c r="C23" s="22" t="n">
        <v>3</v>
      </c>
      <c r="D23" s="21" t="inlineStr">
        <is>
          <t>SBOM</t>
        </is>
      </c>
      <c r="E23" s="22" t="inlineStr">
        <is>
          <t>Optional</t>
        </is>
      </c>
      <c r="F23" s="22" t="inlineStr">
        <is>
          <t>oss</t>
        </is>
      </c>
      <c r="G23" s="22" t="inlineStr">
        <is>
          <t>Apache-2.0</t>
        </is>
      </c>
      <c r="H23" s="22" t="n">
        <v>1</v>
      </c>
      <c r="I23" s="22" t="n">
        <v>2</v>
      </c>
      <c r="J23" s="22" t="n">
        <v>5</v>
      </c>
      <c r="K23" s="22" t="n">
        <v>2</v>
      </c>
      <c r="L23" s="22" t="n">
        <v>4</v>
      </c>
      <c r="M23" s="22" t="n">
        <v>20</v>
      </c>
      <c r="N23" s="22" t="n">
        <v>0</v>
      </c>
      <c r="O23" s="22" t="n">
        <v>0</v>
      </c>
      <c r="P23" s="22" t="inlineStr">
        <is>
          <t>ci_seq</t>
        </is>
      </c>
      <c r="Q23" s="22" t="inlineStr">
        <is>
          <t>per_build</t>
        </is>
      </c>
      <c r="R23" s="23">
        <f>INDEX('02_Freq_Weight'!$E$3:$E$9,MATCH(Q23,'02_Freq_Weight'!$A$3:$A$9,0))</f>
        <v/>
      </c>
      <c r="S23" s="22" t="n">
        <v>0.02</v>
      </c>
      <c r="T23" s="22" t="n">
        <v>2555</v>
      </c>
      <c r="U23" s="24" t="n">
        <v>0.05</v>
      </c>
      <c r="V23" s="24" t="n">
        <v>0.15</v>
      </c>
      <c r="W23" s="21" t="inlineStr">
        <is>
          <t>sbom</t>
        </is>
      </c>
      <c r="X23" s="21" t="inlineStr">
        <is>
          <t>มาตรฐานขั้นต่ำ 2566</t>
        </is>
      </c>
      <c r="Y23" s="21" t="inlineStr">
        <is>
          <t>CSA CCM v4 / STAR; CycloneDX / ECMA-424; NIST SP 800-161r1; NIST SSDF (SP 800-218); OWASP Top 10:2025; SLSA v1.0; SPDX / ISO 5962</t>
        </is>
      </c>
      <c r="Z23" s="21" t="inlineStr">
        <is>
          <t>C-SC-SBOM</t>
        </is>
      </c>
      <c r="AA23" s="21" t="inlineStr">
        <is>
          <t>-</t>
        </is>
      </c>
      <c r="AB23" s="22" t="n">
        <v>1</v>
      </c>
      <c r="AC23" s="21" t="inlineStr">
        <is>
          <t>JFrog Xray SBOM; Snyk SBOM; BlackDuck SBOM; Google Cloud SBOM</t>
        </is>
      </c>
      <c r="AD23" s="21" t="inlineStr"/>
      <c r="AE23" s="21" t="inlineStr">
        <is>
          <t>Syft สแกน image layer สร้าง SBOM; RAM ~500 MB - 2 GB ตามขนาด image; ไฟล์ SBOM 1-10 MB ต่อ artifact</t>
        </is>
      </c>
      <c r="AF23" s="21" t="inlineStr">
        <is>
          <t>ภาครัฐกำหนด Mandatory ตาม OWASP A03 + NIST SP 800-161; SBOM ต้องเก็บคู่กับ artifact และเก็บนานเท่ากับอายุการใช้งานระบบ (7+ ปี)</t>
        </is>
      </c>
    </row>
    <row r="24" ht="58" customHeight="1">
      <c r="A24" s="25" t="inlineStr">
        <is>
          <t>unit-test-runner</t>
        </is>
      </c>
      <c r="B24" s="26" t="inlineStr">
        <is>
          <t>pytest / Jest / JUnit / Go test (Unit Test)</t>
        </is>
      </c>
      <c r="C24" s="27" t="n">
        <v>4</v>
      </c>
      <c r="D24" s="26" t="inlineStr">
        <is>
          <t>Unit Test</t>
        </is>
      </c>
      <c r="E24" s="27" t="inlineStr">
        <is>
          <t>Core</t>
        </is>
      </c>
      <c r="F24" s="27" t="inlineStr">
        <is>
          <t>oss</t>
        </is>
      </c>
      <c r="G24" s="27" t="inlineStr">
        <is>
          <t>MIT</t>
        </is>
      </c>
      <c r="H24" s="27" t="n">
        <v>2</v>
      </c>
      <c r="I24" s="27" t="n">
        <v>4</v>
      </c>
      <c r="J24" s="27" t="n">
        <v>20</v>
      </c>
      <c r="K24" s="27" t="n">
        <v>4</v>
      </c>
      <c r="L24" s="27" t="n">
        <v>8</v>
      </c>
      <c r="M24" s="27" t="n">
        <v>60</v>
      </c>
      <c r="N24" s="27" t="n">
        <v>0</v>
      </c>
      <c r="O24" s="27" t="n">
        <v>0</v>
      </c>
      <c r="P24" s="27" t="inlineStr">
        <is>
          <t>ci_seq</t>
        </is>
      </c>
      <c r="Q24" s="27" t="inlineStr">
        <is>
          <t>per_commit</t>
        </is>
      </c>
      <c r="R24" s="28">
        <f>INDEX('02_Freq_Weight'!$E$3:$E$9,MATCH(Q24,'02_Freq_Weight'!$A$3:$A$9,0))</f>
        <v/>
      </c>
      <c r="S24" s="27" t="n">
        <v>0.1</v>
      </c>
      <c r="T24" s="27" t="n">
        <v>90</v>
      </c>
      <c r="U24" s="29" t="n">
        <v>0.05</v>
      </c>
      <c r="V24" s="29" t="n">
        <v>0.15</v>
      </c>
      <c r="W24" s="26" t="inlineStr">
        <is>
          <t>unit_test, code_quality</t>
        </is>
      </c>
      <c r="X24" s="26" t="inlineStr">
        <is>
          <t>-</t>
        </is>
      </c>
      <c r="Y24" s="26" t="inlineStr">
        <is>
          <t>ISO/IEC 25010:2023; ISO/IEC 27001:2022; ISO/IEC 27034; NIST SSDF (SP 800-218); OWASP ASVS 5.0; OWASP MASVS; OWASP SAMM 2; OWASP Top 10:2025</t>
        </is>
      </c>
      <c r="Z24" s="26" t="inlineStr">
        <is>
          <t>C-SDLC-QUALITY</t>
        </is>
      </c>
      <c r="AA24" s="26" t="inlineStr">
        <is>
          <t>C-APP-ERROR, C-SDLC-TEST, C-SDLC-THREAT</t>
        </is>
      </c>
      <c r="AB24" s="27" t="n">
        <v>4</v>
      </c>
      <c r="AC24" s="26" t="inlineStr">
        <is>
          <t>Visual Studio Test Professional; TestNG Enterprise; NCrunch; JUnit (IntelliJ Ultimate)</t>
        </is>
      </c>
      <c r="AD24" s="26" t="inlineStr"/>
      <c r="AE24" s="26" t="inlineStr">
        <is>
          <t>Test runner แบบขนาน (pytest-xdist / Jest workers) ใช้ RAM ≈ 500 MB ต่อ worker; 4 worker ≈ 2-4 GB</t>
        </is>
      </c>
      <c r="AF24" s="26" t="inlineStr">
        <is>
          <t>ภาครัฐบังคับ Coverage &gt; 80% — coverage instrumentation ทำให้ใช้ RAM และเวลาเพิ่ม ~30-50% ต้องเผื่อไว้</t>
        </is>
      </c>
    </row>
    <row r="25" ht="58" customHeight="1">
      <c r="A25" s="25" t="inlineStr">
        <is>
          <t>testcontainers</t>
        </is>
      </c>
      <c r="B25" s="26" t="inlineStr">
        <is>
          <t>Testcontainers / WireMock / Pact (Integration Test)</t>
        </is>
      </c>
      <c r="C25" s="27" t="n">
        <v>4</v>
      </c>
      <c r="D25" s="26" t="inlineStr">
        <is>
          <t>Integration Test</t>
        </is>
      </c>
      <c r="E25" s="27" t="inlineStr">
        <is>
          <t>Core</t>
        </is>
      </c>
      <c r="F25" s="27" t="inlineStr">
        <is>
          <t>oss</t>
        </is>
      </c>
      <c r="G25" s="27" t="inlineStr">
        <is>
          <t>MIT</t>
        </is>
      </c>
      <c r="H25" s="27" t="n">
        <v>4</v>
      </c>
      <c r="I25" s="27" t="n">
        <v>8</v>
      </c>
      <c r="J25" s="27" t="n">
        <v>40</v>
      </c>
      <c r="K25" s="27" t="n">
        <v>4</v>
      </c>
      <c r="L25" s="27" t="n">
        <v>8</v>
      </c>
      <c r="M25" s="27" t="n">
        <v>100</v>
      </c>
      <c r="N25" s="27" t="n">
        <v>0</v>
      </c>
      <c r="O25" s="27" t="n">
        <v>0</v>
      </c>
      <c r="P25" s="27" t="inlineStr">
        <is>
          <t>ci_seq</t>
        </is>
      </c>
      <c r="Q25" s="27" t="inlineStr">
        <is>
          <t>per_build</t>
        </is>
      </c>
      <c r="R25" s="28">
        <f>INDEX('02_Freq_Weight'!$E$3:$E$9,MATCH(Q25,'02_Freq_Weight'!$A$3:$A$9,0))</f>
        <v/>
      </c>
      <c r="S25" s="27" t="n">
        <v>0.15</v>
      </c>
      <c r="T25" s="27" t="n">
        <v>90</v>
      </c>
      <c r="U25" s="29" t="n">
        <v>0.05</v>
      </c>
      <c r="V25" s="29" t="n">
        <v>0.15</v>
      </c>
      <c r="W25" s="26" t="inlineStr">
        <is>
          <t>integration_test</t>
        </is>
      </c>
      <c r="X25" s="26" t="inlineStr">
        <is>
          <t>-</t>
        </is>
      </c>
      <c r="Y25" s="26" t="inlineStr">
        <is>
          <t>ISO/IEC 25010:2023; ISO/IEC 27001:2022; ISO/IEC 27034; NIST SSDF (SP 800-218)</t>
        </is>
      </c>
      <c r="Z25" s="26" t="inlineStr">
        <is>
          <t>-</t>
        </is>
      </c>
      <c r="AA25" s="26" t="inlineStr">
        <is>
          <t>C-SDLC-TEST</t>
        </is>
      </c>
      <c r="AB25" s="27" t="n">
        <v>1</v>
      </c>
      <c r="AC25" s="26" t="inlineStr">
        <is>
          <t>Tricentis Tosca; SmartBear ReadyAPI; Parasoft SOAtest; Postman Enterprise</t>
        </is>
      </c>
      <c r="AD25" s="26" t="inlineStr"/>
      <c r="AE25" s="26" t="inlineStr">
        <is>
          <t>Integration test ที่ spin ฐานข้อมูล/queue จริงเป็น container ต้องบวก RAM ของ PostgreSQL (~1 GB) + Redis (~0.5 GB) + RabbitMQ (~1 GB) เข้าไปในตอนรัน</t>
        </is>
      </c>
      <c r="AF25" s="26" t="inlineStr">
        <is>
          <t>เป็นขั้นที่กิน RAM สูงสุดใน Stage 4 เพราะรัน dependency จริงพร้อมกัน — อย่าให้ทับเวลากับ DAST Full Scan</t>
        </is>
      </c>
    </row>
    <row r="26" ht="58" customHeight="1">
      <c r="A26" s="25" t="inlineStr">
        <is>
          <t>owasp-zap</t>
        </is>
      </c>
      <c r="B26" s="26" t="inlineStr">
        <is>
          <t>OWASP ZAP (DAST + API Security)</t>
        </is>
      </c>
      <c r="C26" s="27" t="n">
        <v>4</v>
      </c>
      <c r="D26" s="26" t="inlineStr">
        <is>
          <t>DAST</t>
        </is>
      </c>
      <c r="E26" s="27" t="inlineStr">
        <is>
          <t>Optional</t>
        </is>
      </c>
      <c r="F26" s="27" t="inlineStr">
        <is>
          <t>oss</t>
        </is>
      </c>
      <c r="G26" s="27" t="inlineStr">
        <is>
          <t>Apache-2.0</t>
        </is>
      </c>
      <c r="H26" s="27" t="n">
        <v>2</v>
      </c>
      <c r="I26" s="27" t="n">
        <v>4</v>
      </c>
      <c r="J26" s="27" t="n">
        <v>20</v>
      </c>
      <c r="K26" s="27" t="n">
        <v>4</v>
      </c>
      <c r="L26" s="27" t="n">
        <v>8</v>
      </c>
      <c r="M26" s="27" t="n">
        <v>60</v>
      </c>
      <c r="N26" s="27" t="n">
        <v>0</v>
      </c>
      <c r="O26" s="27" t="n">
        <v>0</v>
      </c>
      <c r="P26" s="27" t="inlineStr">
        <is>
          <t>async</t>
        </is>
      </c>
      <c r="Q26" s="27" t="inlineStr">
        <is>
          <t>nightly</t>
        </is>
      </c>
      <c r="R26" s="28">
        <f>INDEX('02_Freq_Weight'!$E$3:$E$9,MATCH(Q26,'02_Freq_Weight'!$A$3:$A$9,0))</f>
        <v/>
      </c>
      <c r="S26" s="27" t="n">
        <v>0.15</v>
      </c>
      <c r="T26" s="27" t="n">
        <v>730</v>
      </c>
      <c r="U26" s="29" t="n">
        <v>0.1</v>
      </c>
      <c r="V26" s="29" t="n">
        <v>0.15</v>
      </c>
      <c r="W26" s="26" t="inlineStr">
        <is>
          <t>dast, api_security, vapt</t>
        </is>
      </c>
      <c r="X26" s="26" t="inlineStr">
        <is>
          <t>พ.ร.บ. ไซเบอร์ 2562; ITA (ป.ป.ช.); มาตรฐานขั้นต่ำ 2566; กรอบมาตรฐานไซเบอร์ 2564; มาตรฐานเว็บไซต์ 2568</t>
        </is>
      </c>
      <c r="Y26" s="26" t="inlineStr">
        <is>
          <t>CIS Controls v8.1; ISO/IEC 27001:2022; ISO/IEC 27034; NIST SP 800-53r5; NIST SP 800-63B; OWASP API Top 10:2023; OWASP ASVS 5.0; OWASP MASVS; OWASP SAMM 2; OWASP Top 10:2025; PCI DSS v4.0</t>
        </is>
      </c>
      <c r="Z26" s="26" t="inlineStr">
        <is>
          <t>C-APP-API, C-APP-DAST, C-APP-PENTEST</t>
        </is>
      </c>
      <c r="AA26" s="26" t="inlineStr">
        <is>
          <t>C-APP-ACCESS, C-APP-AUTHN, C-APP-INJECT, C-WEB-SELF</t>
        </is>
      </c>
      <c r="AB26" s="27" t="n">
        <v>7</v>
      </c>
      <c r="AC26" s="26" t="inlineStr">
        <is>
          <t>Veracode Dynamic Analysis; Burp Suite Professional; Acunetix; Rapid7 InsightAppSec; StackHawk</t>
        </is>
      </c>
      <c r="AD26" s="26" t="inlineStr">
        <is>
          <t>Nikto; w3af; Nuclei; Arachni; RESTler; Schemathesis</t>
        </is>
      </c>
      <c r="AE26" s="26" t="inlineStr">
        <is>
          <t>ZAP เป็น Java app ค่าปริยาย heap ~25% ของ RAM เครื่อง; Full Scan/AJAX Spider บนเว็บใหญ่ควรตั้ง -Xmx 4 GB ขึ้นไป และ session file โต 1-10 GB ต่อรอบ</t>
        </is>
      </c>
      <c r="AF26" s="26" t="inlineStr">
        <is>
          <t>แนวปฏิบัติที่ดีคือติดตั้ง ZAP บนเครื่องหนึ่งแล้วยิงสแกนข้ามเครื่องไปยัง Target ที่รันอยู่ (ห้ามยิงตัวเองเพราะจะแย่ง CPU กันจนผลเพี้ยน); การติดตั้งแบบ Native บน Host แทนการรันใน Docker ช่วยลด RAM ได้ประมาณ 15-20% เมื่อทรัพยากรจำกัด</t>
        </is>
      </c>
    </row>
    <row r="27" ht="58" customHeight="1">
      <c r="A27" s="25" t="inlineStr">
        <is>
          <t>nuclei</t>
        </is>
      </c>
      <c r="B27" s="26" t="inlineStr">
        <is>
          <t>Nuclei (Template-based Vulnerability Scan)</t>
        </is>
      </c>
      <c r="C27" s="27" t="n">
        <v>4</v>
      </c>
      <c r="D27" s="26" t="inlineStr">
        <is>
          <t>DAST</t>
        </is>
      </c>
      <c r="E27" s="27" t="inlineStr">
        <is>
          <t>Optional</t>
        </is>
      </c>
      <c r="F27" s="27" t="inlineStr">
        <is>
          <t>oss</t>
        </is>
      </c>
      <c r="G27" s="27" t="inlineStr">
        <is>
          <t>MIT</t>
        </is>
      </c>
      <c r="H27" s="27" t="n">
        <v>2</v>
      </c>
      <c r="I27" s="27" t="n">
        <v>2</v>
      </c>
      <c r="J27" s="27" t="n">
        <v>10</v>
      </c>
      <c r="K27" s="27" t="n">
        <v>2</v>
      </c>
      <c r="L27" s="27" t="n">
        <v>4</v>
      </c>
      <c r="M27" s="27" t="n">
        <v>20</v>
      </c>
      <c r="N27" s="27" t="n">
        <v>0</v>
      </c>
      <c r="O27" s="27" t="n">
        <v>0</v>
      </c>
      <c r="P27" s="27" t="inlineStr">
        <is>
          <t>async</t>
        </is>
      </c>
      <c r="Q27" s="27" t="inlineStr">
        <is>
          <t>nightly</t>
        </is>
      </c>
      <c r="R27" s="28">
        <f>INDEX('02_Freq_Weight'!$E$3:$E$9,MATCH(Q27,'02_Freq_Weight'!$A$3:$A$9,0))</f>
        <v/>
      </c>
      <c r="S27" s="27" t="n">
        <v>0.05</v>
      </c>
      <c r="T27" s="27" t="n">
        <v>365</v>
      </c>
      <c r="U27" s="29" t="n">
        <v>0.05</v>
      </c>
      <c r="V27" s="29" t="n">
        <v>0.15</v>
      </c>
      <c r="W27" s="26" t="inlineStr">
        <is>
          <t>dast, api_security, vapt, tls_check</t>
        </is>
      </c>
      <c r="X27" s="26" t="inlineStr">
        <is>
          <t>พ.ร.บ. ไซเบอร์ 2562; มสพร. 11-2566 เว็บไซต์ภาครัฐ 3.0; พ.ร.บ. ปฏิบัติราชการทางอิเล็กทรอนิกส์ 2565; ขมธอ. ความมั่นคงปลอดภัยสารสนเทศ; ITA (ป.ป.ช.); มาตรฐานขั้นต่ำ 2566; กรอบมาตรฐานไซเบอร์ 2564; มาตรฐานเว็บไซต์ 2568; PDPA 2562; ประกาศ PDPC มาตรการความปลอดภัย 2565; พ.ร.ฎ. วิธีการแบบปลอดภัย 2553</t>
        </is>
      </c>
      <c r="Y27" s="26" t="inlineStr">
        <is>
          <t>CIS Controls v8.1; CycloneDX / ECMA-424; ISO/IEC 27001:2022; ISO/IEC 27018; ISO/IEC 27034; ISO/IEC 27701; ISO/IEC 29100; NIST SP 800-53r5; NIST SP 800-63B; NIST PQC Migration; OWASP API Top 10:2023; OWASP ASVS 5.0; OWASP MASVS; OWASP SAMM 2; OWASP Top 10:2025; PCI DSS v4.0</t>
        </is>
      </c>
      <c r="Z27" s="26" t="inlineStr">
        <is>
          <t>C-APP-API, C-APP-DAST, C-APP-PENTEST, C-CRY-TLS</t>
        </is>
      </c>
      <c r="AA27" s="26" t="inlineStr">
        <is>
          <t>C-APP-ACCESS, C-APP-AUTHN, C-APP-INJECT, C-CRY-PQC, C-PRV-MEASURE, C-WEB-SELF</t>
        </is>
      </c>
      <c r="AB27" s="27" t="n">
        <v>10</v>
      </c>
      <c r="AC27" s="26" t="inlineStr">
        <is>
          <t>Rapid7 InsightAppSec; Tenable.io; Qualys WAS</t>
        </is>
      </c>
      <c r="AD27" s="26" t="inlineStr"/>
      <c r="AE27" s="26" t="inlineStr">
        <is>
          <t>Nuclei เป็น Go binary รัน template ขนานสูง; RAM 500 MB - 2 GB ตามจำนวน concurrency ที่ตั้ง</t>
        </is>
      </c>
      <c r="AF27" s="26" t="inlineStr">
        <is>
          <t>เบากว่า ZAP มาก เหมาะรันทุกวันเป็น Fast Security Gate แล้วปล่อย ZAP Full Scan รอบสัปดาห์</t>
        </is>
      </c>
    </row>
    <row r="28" ht="58" customHeight="1">
      <c r="A28" s="25" t="inlineStr">
        <is>
          <t>locust</t>
        </is>
      </c>
      <c r="B28" s="26" t="inlineStr">
        <is>
          <t>Locust (Performance / Load Test)</t>
        </is>
      </c>
      <c r="C28" s="27" t="n">
        <v>4</v>
      </c>
      <c r="D28" s="26" t="inlineStr">
        <is>
          <t>Performance Test</t>
        </is>
      </c>
      <c r="E28" s="27" t="inlineStr">
        <is>
          <t>Optional</t>
        </is>
      </c>
      <c r="F28" s="27" t="inlineStr">
        <is>
          <t>oss</t>
        </is>
      </c>
      <c r="G28" s="27" t="inlineStr">
        <is>
          <t>MIT</t>
        </is>
      </c>
      <c r="H28" s="27" t="n">
        <v>4</v>
      </c>
      <c r="I28" s="27" t="n">
        <v>8</v>
      </c>
      <c r="J28" s="27" t="n">
        <v>20</v>
      </c>
      <c r="K28" s="27" t="n">
        <v>8</v>
      </c>
      <c r="L28" s="27" t="n">
        <v>16</v>
      </c>
      <c r="M28" s="27" t="n">
        <v>60</v>
      </c>
      <c r="N28" s="27" t="n">
        <v>0</v>
      </c>
      <c r="O28" s="27" t="n">
        <v>0</v>
      </c>
      <c r="P28" s="27" t="inlineStr">
        <is>
          <t>load</t>
        </is>
      </c>
      <c r="Q28" s="27" t="inlineStr">
        <is>
          <t>weekly</t>
        </is>
      </c>
      <c r="R28" s="28">
        <f>INDEX('02_Freq_Weight'!$E$3:$E$9,MATCH(Q28,'02_Freq_Weight'!$A$3:$A$9,0))</f>
        <v/>
      </c>
      <c r="S28" s="27" t="n">
        <v>0.05</v>
      </c>
      <c r="T28" s="27" t="n">
        <v>365</v>
      </c>
      <c r="U28" s="29" t="n">
        <v>0.1</v>
      </c>
      <c r="V28" s="29" t="n">
        <v>0.15</v>
      </c>
      <c r="W28" s="26" t="inlineStr">
        <is>
          <t>perf_test</t>
        </is>
      </c>
      <c r="X28" s="26" t="inlineStr">
        <is>
          <t>-</t>
        </is>
      </c>
      <c r="Y28" s="26" t="inlineStr">
        <is>
          <t>ISO/IEC 25010:2023; ISO/IEC 27001:2022</t>
        </is>
      </c>
      <c r="Z28" s="26" t="inlineStr">
        <is>
          <t>C-OPS-PERF</t>
        </is>
      </c>
      <c r="AA28" s="26" t="inlineStr">
        <is>
          <t>-</t>
        </is>
      </c>
      <c r="AB28" s="27" t="n">
        <v>1</v>
      </c>
      <c r="AC28" s="26" t="inlineStr">
        <is>
          <t>BlazeMeter; LoadRunner Enterprise; NeoLoad; Gatling Enterprise</t>
        </is>
      </c>
      <c r="AD28" s="26" t="inlineStr">
        <is>
          <t>K6; Apache JMeter; Gatling; Artillery; Vegeta; wrk</t>
        </is>
      </c>
      <c r="AE28" s="26" t="inlineStr">
        <is>
          <t>Locust ใช้ ~1 CPU core ต่อ ~1,000 concurrent users (แบบ single-process) จึงต้องรัน master + workers; แนะนำ 1 worker ต่อ core และ RAM ~1 GB ต่อ 1,000 users</t>
        </is>
      </c>
      <c r="AF28" s="26" t="inlineStr">
        <is>
          <t>ข้อควรระวังสำคัญ: ถ้ารัน Load Generator บนเครื่องเดียวกับระบบที่กำลังทดสอบ ผลการวัดจะเพี้ยน เพราะแย่ง CPU กันเอง ควรแยกเครื่องหรือแยกช่วงเวลาให้ชัดเจน และต้องกันทรัพยากรไว้เต็มจำนวนในช่วงที่รัน</t>
        </is>
      </c>
    </row>
    <row r="29" ht="58" customHeight="1">
      <c r="A29" s="25" t="inlineStr">
        <is>
          <t>playwright-a11y</t>
        </is>
      </c>
      <c r="B29" s="26" t="inlineStr">
        <is>
          <t>Playwright + axe-core / pa11y-ci / Lighthouse CI (Accessibility)</t>
        </is>
      </c>
      <c r="C29" s="27" t="n">
        <v>4</v>
      </c>
      <c r="D29" s="26" t="inlineStr">
        <is>
          <t>Accessibility Test</t>
        </is>
      </c>
      <c r="E29" s="27" t="inlineStr">
        <is>
          <t>Optional</t>
        </is>
      </c>
      <c r="F29" s="27" t="inlineStr">
        <is>
          <t>oss</t>
        </is>
      </c>
      <c r="G29" s="27" t="inlineStr">
        <is>
          <t>Apache-2.0</t>
        </is>
      </c>
      <c r="H29" s="27" t="n">
        <v>2</v>
      </c>
      <c r="I29" s="27" t="n">
        <v>4</v>
      </c>
      <c r="J29" s="27" t="n">
        <v>15</v>
      </c>
      <c r="K29" s="27" t="n">
        <v>4</v>
      </c>
      <c r="L29" s="27" t="n">
        <v>8</v>
      </c>
      <c r="M29" s="27" t="n">
        <v>40</v>
      </c>
      <c r="N29" s="27" t="n">
        <v>0</v>
      </c>
      <c r="O29" s="27" t="n">
        <v>0</v>
      </c>
      <c r="P29" s="27" t="inlineStr">
        <is>
          <t>async</t>
        </is>
      </c>
      <c r="Q29" s="27" t="inlineStr">
        <is>
          <t>nightly</t>
        </is>
      </c>
      <c r="R29" s="28">
        <f>INDEX('02_Freq_Weight'!$E$3:$E$9,MATCH(Q29,'02_Freq_Weight'!$A$3:$A$9,0))</f>
        <v/>
      </c>
      <c r="S29" s="27" t="n">
        <v>0.05</v>
      </c>
      <c r="T29" s="27" t="n">
        <v>365</v>
      </c>
      <c r="U29" s="29" t="n">
        <v>0.05</v>
      </c>
      <c r="V29" s="29" t="n">
        <v>0.1</v>
      </c>
      <c r="W29" s="26" t="inlineStr">
        <is>
          <t>accessibility, integration_test</t>
        </is>
      </c>
      <c r="X29" s="26" t="inlineStr">
        <is>
          <t>มสพร. 11-2566 เว็บไซต์ภาครัฐ 3.0</t>
        </is>
      </c>
      <c r="Y29" s="26" t="inlineStr">
        <is>
          <t>ISO/IEC 25010:2023; ISO/IEC 27001:2022; ISO/IEC 27034; NIST SSDF (SP 800-218); WCAG 2.2 AA</t>
        </is>
      </c>
      <c r="Z29" s="26" t="inlineStr">
        <is>
          <t>C-WEB-A11Y</t>
        </is>
      </c>
      <c r="AA29" s="26" t="inlineStr">
        <is>
          <t>C-SDLC-TEST</t>
        </is>
      </c>
      <c r="AB29" s="27" t="n">
        <v>2</v>
      </c>
      <c r="AC29" s="26" t="inlineStr">
        <is>
          <t>Deque axe DevTools Pro; Siteimprove; Level Access</t>
        </is>
      </c>
      <c r="AD29" s="26" t="inlineStr"/>
      <c r="AE29" s="26" t="inlineStr">
        <is>
          <t>Headless Chromium ใช้ RAM ~300-700 MB ต่อ browser context; 4 context ขนาน ≈ 2-3 GB</t>
        </is>
      </c>
      <c r="AF29" s="26" t="inlineStr">
        <is>
          <t>จำเป็นสำหรับ .go.th ตาม มสพร. 11-2566 (WCAG 2.1/2.2 AA) — เป็นข้อที่โครงการภาครัฐมักตกเพราะไม่มีใน Pipeline; ต้องเก็บผลเป็นหลักฐาน Self-Assessment ตาม WEB2568-R4</t>
        </is>
      </c>
    </row>
    <row r="30" ht="58" customHeight="1">
      <c r="A30" s="25" t="inlineStr">
        <is>
          <t>testssl</t>
        </is>
      </c>
      <c r="B30" s="26" t="inlineStr">
        <is>
          <t>testssl.sh / sslyze / CBOMkit (TLS + Crypto Inventory)</t>
        </is>
      </c>
      <c r="C30" s="27" t="n">
        <v>4</v>
      </c>
      <c r="D30" s="26" t="inlineStr">
        <is>
          <t>TLS &amp; Crypto Validation</t>
        </is>
      </c>
      <c r="E30" s="27" t="inlineStr">
        <is>
          <t>Optional</t>
        </is>
      </c>
      <c r="F30" s="27" t="inlineStr">
        <is>
          <t>oss</t>
        </is>
      </c>
      <c r="G30" s="27" t="inlineStr">
        <is>
          <t>GPL-2.0</t>
        </is>
      </c>
      <c r="H30" s="27" t="n">
        <v>1</v>
      </c>
      <c r="I30" s="27" t="n">
        <v>2</v>
      </c>
      <c r="J30" s="27" t="n">
        <v>5</v>
      </c>
      <c r="K30" s="27" t="n">
        <v>2</v>
      </c>
      <c r="L30" s="27" t="n">
        <v>2</v>
      </c>
      <c r="M30" s="27" t="n">
        <v>10</v>
      </c>
      <c r="N30" s="27" t="n">
        <v>0</v>
      </c>
      <c r="O30" s="27" t="n">
        <v>0</v>
      </c>
      <c r="P30" s="27" t="inlineStr">
        <is>
          <t>async</t>
        </is>
      </c>
      <c r="Q30" s="27" t="inlineStr">
        <is>
          <t>weekly</t>
        </is>
      </c>
      <c r="R30" s="28">
        <f>INDEX('02_Freq_Weight'!$E$3:$E$9,MATCH(Q30,'02_Freq_Weight'!$A$3:$A$9,0))</f>
        <v/>
      </c>
      <c r="S30" s="27" t="n">
        <v>0.01</v>
      </c>
      <c r="T30" s="27" t="n">
        <v>365</v>
      </c>
      <c r="U30" s="29" t="n">
        <v>0.05</v>
      </c>
      <c r="V30" s="29" t="n">
        <v>0.1</v>
      </c>
      <c r="W30" s="26" t="inlineStr">
        <is>
          <t>tls_check, crypto_agility</t>
        </is>
      </c>
      <c r="X30" s="26" t="inlineStr">
        <is>
          <t>มสพร. 11-2566 เว็บไซต์ภาครัฐ 3.0; พ.ร.บ. ปฏิบัติราชการทางอิเล็กทรอนิกส์ 2565; ขมธอ. ความมั่นคงปลอดภัยสารสนเทศ; มาตรฐานเว็บไซต์ 2568; PDPA 2562; ประกาศ PDPC มาตรการความปลอดภัย 2565; พ.ร.ฎ. วิธีการแบบปลอดภัย 2553</t>
        </is>
      </c>
      <c r="Y30" s="26" t="inlineStr">
        <is>
          <t>CycloneDX / ECMA-424; ISO/IEC 27018; ISO/IEC 27701; ISO/IEC 29100; NIST PQC Migration; OWASP Top 10:2025; PCI DSS v4.0</t>
        </is>
      </c>
      <c r="Z30" s="26" t="inlineStr">
        <is>
          <t>C-CRY-PQC, C-CRY-TLS</t>
        </is>
      </c>
      <c r="AA30" s="26" t="inlineStr">
        <is>
          <t>C-PRV-MEASURE</t>
        </is>
      </c>
      <c r="AB30" s="27" t="n">
        <v>3</v>
      </c>
      <c r="AC30" s="26" t="inlineStr">
        <is>
          <t>Qualys SSL Labs API; Venafi TLS Protect; Entrust</t>
        </is>
      </c>
      <c r="AD30" s="26" t="inlineStr"/>
      <c r="AE30" s="26" t="inlineStr">
        <is>
          <t>testssl.sh เป็น bash + openssl ใช้ RAM &lt; 300 MB; ใช้เวลา 2-10 นาทีต่อ endpoint</t>
        </is>
      </c>
      <c r="AF30" s="26" t="inlineStr">
        <is>
          <t>ตรวจว่า TLS 1.2/1.3 เท่านั้น ไม่มี Self-signed ตาม มสพร. 11-2566 และ WEB2568-R1; CBOMkit ใช้ทำ Crypto Bill of Materials เตรียม Post-Quantum ตาม OWASP-PQC</t>
        </is>
      </c>
    </row>
    <row r="31" ht="58" customHeight="1">
      <c r="A31" s="30" t="inlineStr">
        <is>
          <t>harbor</t>
        </is>
      </c>
      <c r="B31" s="31" t="inlineStr">
        <is>
          <t>Harbor (Private Container Registry, CNCF Graduated)</t>
        </is>
      </c>
      <c r="C31" s="32" t="n">
        <v>5</v>
      </c>
      <c r="D31" s="31" t="inlineStr">
        <is>
          <t>Container Registry</t>
        </is>
      </c>
      <c r="E31" s="32" t="inlineStr">
        <is>
          <t>Core</t>
        </is>
      </c>
      <c r="F31" s="32" t="inlineStr">
        <is>
          <t>oss</t>
        </is>
      </c>
      <c r="G31" s="32" t="inlineStr">
        <is>
          <t>Apache-2.0</t>
        </is>
      </c>
      <c r="H31" s="32" t="n">
        <v>2</v>
      </c>
      <c r="I31" s="32" t="n">
        <v>4</v>
      </c>
      <c r="J31" s="32" t="n">
        <v>60</v>
      </c>
      <c r="K31" s="32" t="n">
        <v>4</v>
      </c>
      <c r="L31" s="32" t="n">
        <v>8</v>
      </c>
      <c r="M31" s="32" t="n">
        <v>200</v>
      </c>
      <c r="N31" s="32" t="n">
        <v>1</v>
      </c>
      <c r="O31" s="32" t="n">
        <v>3</v>
      </c>
      <c r="P31" s="32" t="inlineStr">
        <is>
          <t>resident</t>
        </is>
      </c>
      <c r="Q31" s="32" t="inlineStr">
        <is>
          <t>resident</t>
        </is>
      </c>
      <c r="R31" s="33">
        <f>INDEX('02_Freq_Weight'!$E$3:$E$9,MATCH(Q31,'02_Freq_Weight'!$A$3:$A$9,0))</f>
        <v/>
      </c>
      <c r="S31" s="32" t="n">
        <v>1</v>
      </c>
      <c r="T31" s="32" t="n">
        <v>180</v>
      </c>
      <c r="U31" s="34" t="n">
        <v>0.2</v>
      </c>
      <c r="V31" s="34" t="n">
        <v>0.25</v>
      </c>
      <c r="W31" s="31" t="inlineStr">
        <is>
          <t>registry, container_scan, artifact_sign, audit_trail, version_tag</t>
        </is>
      </c>
      <c r="X31" s="3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31" s="31" t="inlineStr">
        <is>
          <t>CIS Benchmarks; ISO 22301:2019; ISO/IEC 27001:2022; ISO/IEC 27018; ISO/IEC 27701; ISO/IEC 42001:2023; NIST SP 800-161r1; NIST SP 800-53r5; NIST CSF 2.0; NIST SSDF (SP 800-218); OWASP Top 10:2025; PCI DSS v4.0; SLSA v1.0; SOC 2 (TSC)</t>
        </is>
      </c>
      <c r="Z31" s="31" t="inlineStr">
        <is>
          <t>C-LOG-AUDIT, C-SC-CONTAINER, C-SC-REGISTRY, C-SC-SIGN</t>
        </is>
      </c>
      <c r="AA31" s="31" t="inlineStr">
        <is>
          <t>C-AI-GOV, C-LOG-90, C-OPS-BCP, C-SC-PIN, C-SDLC-TRACE, C-WEB-SELF</t>
        </is>
      </c>
      <c r="AB31" s="32" t="n">
        <v>10</v>
      </c>
      <c r="AC31" s="31" t="inlineStr">
        <is>
          <t>JFrog Artifactory Enterprise; Amazon ECR; Azure Container Registry; Google Artifact Registry</t>
        </is>
      </c>
      <c r="AD31" s="31" t="inlineStr">
        <is>
          <t>Zot; Quay.io; Distribution (Docker Registry); GitLab Container Registry</t>
        </is>
      </c>
      <c r="AE31" s="31" t="inlineStr">
        <is>
          <t>Harbor docs: minimum 2 CPU / 4 GB RAM / 40 GB disk; recommended 4 CPU / 8 GB RAM / 160 GB disk — ประกอบด้วย core, registry, jobservice, PostgreSQL, Redis, Trivy</t>
        </is>
      </c>
      <c r="AF31" s="31" t="inlineStr">
        <is>
          <t>รองรับ Air-gapped ตามข้อกำหนดภาครัฐ + มี Vulnerability Scan และ Cosign verification ในตัว; ต้องตั้ง Retention Policy ไม่งั้น disk โตไม่หยุด (2-5 GB/วัน จาก image tag ใหม่)</t>
        </is>
      </c>
    </row>
    <row r="32" ht="58" customHeight="1">
      <c r="A32" s="30" t="inlineStr">
        <is>
          <t>minio</t>
        </is>
      </c>
      <c r="B32" s="31" t="inlineStr">
        <is>
          <t>MinIO (S3-compatible Object Storage)</t>
        </is>
      </c>
      <c r="C32" s="32" t="n">
        <v>5</v>
      </c>
      <c r="D32" s="31" t="inlineStr">
        <is>
          <t>Artifact Storage</t>
        </is>
      </c>
      <c r="E32" s="32" t="inlineStr">
        <is>
          <t>Core</t>
        </is>
      </c>
      <c r="F32" s="32" t="inlineStr">
        <is>
          <t>oss</t>
        </is>
      </c>
      <c r="G32" s="32" t="inlineStr">
        <is>
          <t>AGPL-3.0</t>
        </is>
      </c>
      <c r="H32" s="32" t="n">
        <v>2</v>
      </c>
      <c r="I32" s="32" t="n">
        <v>4</v>
      </c>
      <c r="J32" s="32" t="n">
        <v>20</v>
      </c>
      <c r="K32" s="32" t="n">
        <v>4</v>
      </c>
      <c r="L32" s="32" t="n">
        <v>8</v>
      </c>
      <c r="M32" s="32" t="n">
        <v>500</v>
      </c>
      <c r="N32" s="32" t="n">
        <v>1</v>
      </c>
      <c r="O32" s="32" t="n">
        <v>1.5</v>
      </c>
      <c r="P32" s="32" t="inlineStr">
        <is>
          <t>resident</t>
        </is>
      </c>
      <c r="Q32" s="32" t="inlineStr">
        <is>
          <t>resident</t>
        </is>
      </c>
      <c r="R32" s="33">
        <f>INDEX('02_Freq_Weight'!$E$3:$E$9,MATCH(Q32,'02_Freq_Weight'!$A$3:$A$9,0))</f>
        <v/>
      </c>
      <c r="S32" s="32" t="n">
        <v>1</v>
      </c>
      <c r="T32" s="32" t="n">
        <v>180</v>
      </c>
      <c r="U32" s="34" t="n">
        <v>0.15</v>
      </c>
      <c r="V32" s="34" t="n">
        <v>0.25</v>
      </c>
      <c r="W32" s="31" t="inlineStr">
        <is>
          <t>registry, backup_dr, audit_trail</t>
        </is>
      </c>
      <c r="X32" s="31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2562; พ.ร.ฎ. วิธีการแบบปลอดภัย 2553</t>
        </is>
      </c>
      <c r="Y32" s="31" t="inlineStr">
        <is>
          <t>CIS Controls v8.1; ISO 22301:2019; ISO/IEC 27001:2022; ISO/IEC 27018; ISO/IEC 27701; ISO/IEC 42001:2023; NIST SP 800-161r1; NIST SP 800-53r5; NIST CSF 2.0; NIST SSDF (SP 800-218); OWASP Top 10:2025; SLSA v1.0; SOC 2 (TSC)</t>
        </is>
      </c>
      <c r="Z32" s="31" t="inlineStr">
        <is>
          <t>C-LOG-AUDIT, C-OPS-BACKUP, C-OPS-BCP, C-SC-REGISTRY</t>
        </is>
      </c>
      <c r="AA32" s="31" t="inlineStr">
        <is>
          <t>C-AI-GOV, C-LOG-90, C-SDLC-TRACE, C-WEB-SELF</t>
        </is>
      </c>
      <c r="AB32" s="32" t="n">
        <v>8</v>
      </c>
      <c r="AC32" s="31" t="inlineStr">
        <is>
          <t>Amazon S3; Azure Blob Storage; NetApp StorageGRID; Dell ECS</t>
        </is>
      </c>
      <c r="AD32" s="31" t="inlineStr"/>
      <c r="AE32" s="31" t="inlineStr">
        <is>
          <t>MinIO ขั้นต่ำใช้งานได้ที่ 2 vCPU / 4 GB (เอกสารแนะนำ 32 GB สำหรับ production ที่โหลดสูง เพราะ cache metadata ใน RAM); erasure coding ต้องมี 4 drive ขึ้นไปถ้าต้องการ HA</t>
        </is>
      </c>
      <c r="AF32" s="31" t="inlineStr">
        <is>
          <t>ใช้เป็นคลังเก็บ Container Image, Source Archive และ Report ที่เข้าถึงแบบ S3 API ได้ ต้องแยก Data Disk ออกจาก OS Disk เสมอ — ข้อควรระวัง License เป็น AGPL-3.0 ซึ่งขัดกับข้อห้าม ใช้ GPL/AGPL ของโครงการภาครัฐบางแห่ง ต้องตรวจว่าเข้าเงื่อนไข 'ไม่แก้ไข source และไม่ให้บริการต่อสาธารณะ' หรือขอ Commercial License</t>
        </is>
      </c>
    </row>
    <row r="33" ht="58" customHeight="1">
      <c r="A33" s="30" t="inlineStr">
        <is>
          <t>elasticsearch</t>
        </is>
      </c>
      <c r="B33" s="31" t="inlineStr">
        <is>
          <t>Elasticsearch (Log / Audit Trail Index)</t>
        </is>
      </c>
      <c r="C33" s="32" t="n">
        <v>5</v>
      </c>
      <c r="D33" s="31" t="inlineStr">
        <is>
          <t>Log &amp; Audit Store</t>
        </is>
      </c>
      <c r="E33" s="32" t="inlineStr">
        <is>
          <t>Core</t>
        </is>
      </c>
      <c r="F33" s="32" t="inlineStr">
        <is>
          <t>oss</t>
        </is>
      </c>
      <c r="G33" s="32" t="inlineStr">
        <is>
          <t>SSPL / Elastic License</t>
        </is>
      </c>
      <c r="H33" s="32" t="n">
        <v>2</v>
      </c>
      <c r="I33" s="32" t="n">
        <v>4</v>
      </c>
      <c r="J33" s="32" t="n">
        <v>40</v>
      </c>
      <c r="K33" s="32" t="n">
        <v>8</v>
      </c>
      <c r="L33" s="32" t="n">
        <v>16</v>
      </c>
      <c r="M33" s="32" t="n">
        <v>500</v>
      </c>
      <c r="N33" s="32" t="n">
        <v>1</v>
      </c>
      <c r="O33" s="32" t="n">
        <v>3.5</v>
      </c>
      <c r="P33" s="32" t="inlineStr">
        <is>
          <t>resident</t>
        </is>
      </c>
      <c r="Q33" s="32" t="inlineStr">
        <is>
          <t>resident</t>
        </is>
      </c>
      <c r="R33" s="33">
        <f>INDEX('02_Freq_Weight'!$E$3:$E$9,MATCH(Q33,'02_Freq_Weight'!$A$3:$A$9,0))</f>
        <v/>
      </c>
      <c r="S33" s="32" t="n">
        <v>1.5</v>
      </c>
      <c r="T33" s="32" t="n">
        <v>90</v>
      </c>
      <c r="U33" s="34" t="n">
        <v>0.45</v>
      </c>
      <c r="V33" s="34" t="n">
        <v>0.3</v>
      </c>
      <c r="W33" s="31" t="inlineStr">
        <is>
          <t>log_mgmt, audit_trail, siem_alert</t>
        </is>
      </c>
      <c r="X33" s="31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33" s="31" t="inlineStr">
        <is>
          <t>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      </is>
      </c>
      <c r="Z33" s="31" t="inlineStr">
        <is>
          <t>C-LOG-90, C-LOG-AUDIT, C-LOG-CENTRAL</t>
        </is>
      </c>
      <c r="AA33" s="31" t="inlineStr">
        <is>
          <t>C-LOG-NOTIFY, C-LOG-SIEM, C-OPS-BCP, C-PRV-BREACH, C-PRV-MEASURE, C-PRV-MINIMIZE, C-SDLC-TRACE, C-WEB-SELF</t>
        </is>
      </c>
      <c r="AB33" s="32" t="n">
        <v>11</v>
      </c>
      <c r="AC33" s="31" t="inlineStr">
        <is>
          <t>Splunk Enterprise; Datadog; Sumo Logic; Microsoft Sentinel</t>
        </is>
      </c>
      <c r="AD33" s="31" t="inlineStr"/>
      <c r="AE33" s="31" t="inlineStr">
        <is>
          <t>Elasticsearch แนะนำ JVM heap ไม่เกิน 50% ของ RAM และไม่เกิน ~31 GB; ที่ 4 GB RAM ต้องตั้ง ES_JAVA_OPTS=-Xms2g -Xmx2g; index overhead รวม replica + doc_values ประมาณ 30-50% ของ raw log</t>
        </is>
      </c>
      <c r="AF33" s="31" t="inlineStr">
        <is>
          <t>เป็นตัวกิน RAM และ Disk มากที่สุดในระบบ CI/CD — ถ้าต้องแชร์เครื่องกับ Orchestrator หรือ SAST ให้จำกัด heap ด้วย ES_JAVA_OPTS (เช่น 2-4 GB) เพื่อรักษาเสถียรภาพของเครื่อง; มาตรฐานขั้นต่ำ พ.ศ. 2566 บังคับเก็บ Log อย่างน้อย 90 วัน ซึ่งเป็นตัวกำหนดขนาด Data Disk โดยตรง</t>
        </is>
      </c>
    </row>
    <row r="34" ht="58" customHeight="1">
      <c r="A34" s="30" t="inlineStr">
        <is>
          <t>logstash</t>
        </is>
      </c>
      <c r="B34" s="31" t="inlineStr">
        <is>
          <t>Logstash (Log Pipeline / Parser)</t>
        </is>
      </c>
      <c r="C34" s="32" t="n">
        <v>5</v>
      </c>
      <c r="D34" s="31" t="inlineStr">
        <is>
          <t>Log Ingest</t>
        </is>
      </c>
      <c r="E34" s="32" t="inlineStr">
        <is>
          <t>Optional</t>
        </is>
      </c>
      <c r="F34" s="32" t="inlineStr">
        <is>
          <t>oss</t>
        </is>
      </c>
      <c r="G34" s="32" t="inlineStr">
        <is>
          <t>SSPL / Elastic License</t>
        </is>
      </c>
      <c r="H34" s="32" t="n">
        <v>2</v>
      </c>
      <c r="I34" s="32" t="n">
        <v>4</v>
      </c>
      <c r="J34" s="32" t="n">
        <v>15</v>
      </c>
      <c r="K34" s="32" t="n">
        <v>2</v>
      </c>
      <c r="L34" s="32" t="n">
        <v>4</v>
      </c>
      <c r="M34" s="32" t="n">
        <v>40</v>
      </c>
      <c r="N34" s="32" t="n">
        <v>1</v>
      </c>
      <c r="O34" s="32" t="n">
        <v>1.5</v>
      </c>
      <c r="P34" s="32" t="inlineStr">
        <is>
          <t>resident</t>
        </is>
      </c>
      <c r="Q34" s="32" t="inlineStr">
        <is>
          <t>resident</t>
        </is>
      </c>
      <c r="R34" s="33">
        <f>INDEX('02_Freq_Weight'!$E$3:$E$9,MATCH(Q34,'02_Freq_Weight'!$A$3:$A$9,0))</f>
        <v/>
      </c>
      <c r="S34" s="32" t="n">
        <v>0.1</v>
      </c>
      <c r="T34" s="32" t="n">
        <v>30</v>
      </c>
      <c r="U34" s="34" t="n">
        <v>0.05</v>
      </c>
      <c r="V34" s="34" t="n">
        <v>0.2</v>
      </c>
      <c r="W34" s="31" t="inlineStr">
        <is>
          <t>log_mgmt</t>
        </is>
      </c>
      <c r="X34" s="31" t="inlineStr">
        <is>
          <t>พ.ร.บ. คอมพิวเตอร์ 2550/2560; มสพร. 11-2566 เว็บไซต์ภาครัฐ 3.0; ขมธอ. ความมั่นคงปลอดภัยสารสนเทศ; มาตรฐานคลาวด์ 2567; มาตรฐานขั้นต่ำ 2566;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34" s="31" t="inlineStr">
        <is>
          <t>CIS Controls v8.1; CSA CCM v4 / STAR; ISO/IEC 27001:2022; ISO/IEC 27002:2022; ISO/IEC 27017; ISO/IEC 27018; ISO/IEC 27701; ISO/IEC 29100; OWASP ASVS 5.0; OWASP Top 10:2025; PCI DSS v4.0</t>
        </is>
      </c>
      <c r="Z34" s="31" t="inlineStr">
        <is>
          <t>C-LOG-CENTRAL</t>
        </is>
      </c>
      <c r="AA34" s="31" t="inlineStr">
        <is>
          <t>C-LOG-90, C-PRV-BREACH, C-PRV-MEASURE, C-PRV-MINIMIZE</t>
        </is>
      </c>
      <c r="AB34" s="32" t="n">
        <v>5</v>
      </c>
      <c r="AC34" s="31" t="inlineStr">
        <is>
          <t>Splunk Forwarder; Datadog Agent; Cribl Stream</t>
        </is>
      </c>
      <c r="AD34" s="31" t="inlineStr"/>
      <c r="AE34" s="31" t="inlineStr">
        <is>
          <t>Logstash ค่าปริยาย heap 1 GB (แนะนำ 4-8 GB เมื่อ throughput สูง); ทุก pipeline worker กิน RAM เพิ่ม</t>
        </is>
      </c>
      <c r="AF34" s="31" t="inlineStr">
        <is>
          <t>ถ้า RAM จำกัด ให้ตัด Logstash ออกและใช้ Filebeat -&gt; Elasticsearch Ingest Pipeline โดยตรง ประหยัดได้ 1.5-4 GB ต่อเครื่อง</t>
        </is>
      </c>
    </row>
    <row r="35" ht="58" customHeight="1">
      <c r="A35" s="30" t="inlineStr">
        <is>
          <t>kibana</t>
        </is>
      </c>
      <c r="B35" s="31" t="inlineStr">
        <is>
          <t>Kibana (Log Visualization / Audit Review)</t>
        </is>
      </c>
      <c r="C35" s="32" t="n">
        <v>5</v>
      </c>
      <c r="D35" s="31" t="inlineStr">
        <is>
          <t>Log UI</t>
        </is>
      </c>
      <c r="E35" s="32" t="inlineStr">
        <is>
          <t>Core</t>
        </is>
      </c>
      <c r="F35" s="32" t="inlineStr">
        <is>
          <t>oss</t>
        </is>
      </c>
      <c r="G35" s="32" t="inlineStr">
        <is>
          <t>SSPL / Elastic License</t>
        </is>
      </c>
      <c r="H35" s="32" t="n">
        <v>1</v>
      </c>
      <c r="I35" s="32" t="n">
        <v>2</v>
      </c>
      <c r="J35" s="32" t="n">
        <v>10</v>
      </c>
      <c r="K35" s="32" t="n">
        <v>2</v>
      </c>
      <c r="L35" s="32" t="n">
        <v>4</v>
      </c>
      <c r="M35" s="32" t="n">
        <v>30</v>
      </c>
      <c r="N35" s="32" t="n">
        <v>1</v>
      </c>
      <c r="O35" s="32" t="n">
        <v>1.2</v>
      </c>
      <c r="P35" s="32" t="inlineStr">
        <is>
          <t>resident</t>
        </is>
      </c>
      <c r="Q35" s="32" t="inlineStr">
        <is>
          <t>resident</t>
        </is>
      </c>
      <c r="R35" s="33">
        <f>INDEX('02_Freq_Weight'!$E$3:$E$9,MATCH(Q35,'02_Freq_Weight'!$A$3:$A$9,0))</f>
        <v/>
      </c>
      <c r="S35" s="32" t="n">
        <v>0.05</v>
      </c>
      <c r="T35" s="32" t="n">
        <v>90</v>
      </c>
      <c r="U35" s="34" t="n">
        <v>0.05</v>
      </c>
      <c r="V35" s="34" t="n">
        <v>0.15</v>
      </c>
      <c r="W35" s="31" t="inlineStr">
        <is>
          <t>log_mgmt, audit_trail, siem_alert</t>
        </is>
      </c>
      <c r="X35" s="31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35" s="31" t="inlineStr">
        <is>
          <t>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      </is>
      </c>
      <c r="Z35" s="31" t="inlineStr">
        <is>
          <t>C-LOG-90, C-LOG-AUDIT, C-LOG-CENTRAL</t>
        </is>
      </c>
      <c r="AA35" s="31" t="inlineStr">
        <is>
          <t>C-LOG-NOTIFY, C-LOG-SIEM, C-OPS-BCP, C-PRV-BREACH, C-PRV-MEASURE, C-PRV-MINIMIZE, C-SDLC-TRACE, C-WEB-SELF</t>
        </is>
      </c>
      <c r="AB35" s="32" t="n">
        <v>11</v>
      </c>
      <c r="AC35" s="31" t="inlineStr">
        <is>
          <t>Splunk Dashboards; Datadog; Grafana Enterprise</t>
        </is>
      </c>
      <c r="AD35" s="31" t="inlineStr"/>
      <c r="AE35" s="31" t="inlineStr">
        <is>
          <t>Kibana เป็น Node.js app ค่าปริยาย heap ~1 GB (ปรับผ่าน NODE_OPTIONS --max-old-space-size)</t>
        </is>
      </c>
      <c r="AF35" s="31" t="inlineStr">
        <is>
          <t>ใช้ตรวจ Access Log และ Audit Log ก่อนกด Approve ขึ้น Production ซึ่งเป็นหลักฐานประกอบการตรวจสอบระบบตาม พ.ร.บ. ไซเบอร์ ม.54-57</t>
        </is>
      </c>
    </row>
    <row r="36" ht="58" customHeight="1">
      <c r="A36" s="30" t="inlineStr">
        <is>
          <t>filebeat</t>
        </is>
      </c>
      <c r="B36" s="31" t="inlineStr">
        <is>
          <t>Filebeat (Log Shipper ต่อเครื่อง)</t>
        </is>
      </c>
      <c r="C36" s="32" t="n">
        <v>5</v>
      </c>
      <c r="D36" s="31" t="inlineStr">
        <is>
          <t>Log Agent</t>
        </is>
      </c>
      <c r="E36" s="32" t="inlineStr">
        <is>
          <t>Core</t>
        </is>
      </c>
      <c r="F36" s="32" t="inlineStr">
        <is>
          <t>oss</t>
        </is>
      </c>
      <c r="G36" s="32" t="inlineStr">
        <is>
          <t>SSPL / Elastic License</t>
        </is>
      </c>
      <c r="H36" s="32" t="n">
        <v>1</v>
      </c>
      <c r="I36" s="32" t="n">
        <v>1</v>
      </c>
      <c r="J36" s="32" t="n">
        <v>5</v>
      </c>
      <c r="K36" s="32" t="n">
        <v>1</v>
      </c>
      <c r="L36" s="32" t="n">
        <v>1</v>
      </c>
      <c r="M36" s="32" t="n">
        <v>10</v>
      </c>
      <c r="N36" s="32" t="n">
        <v>1</v>
      </c>
      <c r="O36" s="32" t="n">
        <v>0.15</v>
      </c>
      <c r="P36" s="32" t="inlineStr">
        <is>
          <t>resident</t>
        </is>
      </c>
      <c r="Q36" s="32" t="inlineStr">
        <is>
          <t>resident</t>
        </is>
      </c>
      <c r="R36" s="33">
        <f>INDEX('02_Freq_Weight'!$E$3:$E$9,MATCH(Q36,'02_Freq_Weight'!$A$3:$A$9,0))</f>
        <v/>
      </c>
      <c r="S36" s="32" t="n">
        <v>0.02</v>
      </c>
      <c r="T36" s="32" t="n">
        <v>7</v>
      </c>
      <c r="U36" s="34" t="n">
        <v>0.05</v>
      </c>
      <c r="V36" s="34" t="n">
        <v>0.2</v>
      </c>
      <c r="W36" s="31" t="inlineStr">
        <is>
          <t>log_mgmt</t>
        </is>
      </c>
      <c r="X36" s="31" t="inlineStr">
        <is>
          <t>พ.ร.บ. คอมพิวเตอร์ 2550/2560; มสพร. 11-2566 เว็บไซต์ภาครัฐ 3.0; ขมธอ. ความมั่นคงปลอดภัยสารสนเทศ; มาตรฐานคลาวด์ 2567; มาตรฐานขั้นต่ำ 2566;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36" s="31" t="inlineStr">
        <is>
          <t>CIS Controls v8.1; CSA CCM v4 / STAR; ISO/IEC 27001:2022; ISO/IEC 27002:2022; ISO/IEC 27017; ISO/IEC 27018; ISO/IEC 27701; ISO/IEC 29100; OWASP ASVS 5.0; OWASP Top 10:2025; PCI DSS v4.0</t>
        </is>
      </c>
      <c r="Z36" s="31" t="inlineStr">
        <is>
          <t>C-LOG-CENTRAL</t>
        </is>
      </c>
      <c r="AA36" s="31" t="inlineStr">
        <is>
          <t>C-LOG-90, C-PRV-BREACH, C-PRV-MEASURE, C-PRV-MINIMIZE</t>
        </is>
      </c>
      <c r="AB36" s="32" t="n">
        <v>5</v>
      </c>
      <c r="AC36" s="31" t="inlineStr">
        <is>
          <t>Splunk Universal Forwarder; Datadog Agent; Fluent Bit</t>
        </is>
      </c>
      <c r="AD36" s="31" t="inlineStr"/>
      <c r="AE36" s="31" t="inlineStr">
        <is>
          <t>Filebeat เป็น Go binary กิน RAM 50-150 MB ต่อ instance; ต้องลงทุกเครื่องที่ต้องการเก็บ log</t>
        </is>
      </c>
      <c r="AF36" s="31" t="inlineStr">
        <is>
          <t>ทั้ง 2 โครงการใช้ Filebeat ส่ง Log เข้า Elasticsearch แบบ Real-time; ต้องนับ 1 instance ต่อ 1 VM ในการคำนวณ (เล็กแต่คูณจำนวนเครื่อง)</t>
        </is>
      </c>
    </row>
    <row r="37" ht="58" customHeight="1">
      <c r="A37" s="30" t="inlineStr">
        <is>
          <t>wazuh</t>
        </is>
      </c>
      <c r="B37" s="31" t="inlineStr">
        <is>
          <t>Wazuh (SIEM / HIDS + Alerting)</t>
        </is>
      </c>
      <c r="C37" s="32" t="n">
        <v>5</v>
      </c>
      <c r="D37" s="31" t="inlineStr">
        <is>
          <t>SIEM</t>
        </is>
      </c>
      <c r="E37" s="32" t="inlineStr">
        <is>
          <t>Optional</t>
        </is>
      </c>
      <c r="F37" s="32" t="inlineStr">
        <is>
          <t>oss</t>
        </is>
      </c>
      <c r="G37" s="32" t="inlineStr">
        <is>
          <t>GPL-2.0</t>
        </is>
      </c>
      <c r="H37" s="32" t="n">
        <v>4</v>
      </c>
      <c r="I37" s="32" t="n">
        <v>8</v>
      </c>
      <c r="J37" s="32" t="n">
        <v>50</v>
      </c>
      <c r="K37" s="32" t="n">
        <v>8</v>
      </c>
      <c r="L37" s="32" t="n">
        <v>16</v>
      </c>
      <c r="M37" s="32" t="n">
        <v>300</v>
      </c>
      <c r="N37" s="32" t="n">
        <v>1</v>
      </c>
      <c r="O37" s="32" t="n">
        <v>6</v>
      </c>
      <c r="P37" s="32" t="inlineStr">
        <is>
          <t>resident</t>
        </is>
      </c>
      <c r="Q37" s="32" t="inlineStr">
        <is>
          <t>resident</t>
        </is>
      </c>
      <c r="R37" s="33">
        <f>INDEX('02_Freq_Weight'!$E$3:$E$9,MATCH(Q37,'02_Freq_Weight'!$A$3:$A$9,0))</f>
        <v/>
      </c>
      <c r="S37" s="32" t="n">
        <v>1</v>
      </c>
      <c r="T37" s="32" t="n">
        <v>90</v>
      </c>
      <c r="U37" s="34" t="n">
        <v>0.4</v>
      </c>
      <c r="V37" s="34" t="n">
        <v>0.3</v>
      </c>
      <c r="W37" s="31" t="inlineStr">
        <is>
          <t>siem_alert, log_mgmt, audit_trail, runtime_security, config_mgmt</t>
        </is>
      </c>
      <c r="X37" s="31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37" s="31" t="inlineStr">
        <is>
          <t>CIS Benchmarks; 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      </is>
      </c>
      <c r="Z37" s="31" t="inlineStr">
        <is>
          <t>C-LOG-90, C-LOG-AUDIT, C-LOG-CENTRAL, C-OPS-HARDEN, C-OPS-RUNTIME</t>
        </is>
      </c>
      <c r="AA37" s="31" t="inlineStr">
        <is>
          <t>C-AI-DRIFT, C-IAM-LEAST, C-IAM-REMOTE, C-LOG-NOTIFY, C-LOG-SIEM, C-OPS-BCP, C-PRV-BREACH, C-PRV-MEASURE, C-PRV-MINIMIZE, C-SDLC-TRACE, C-WEB-SELF</t>
        </is>
      </c>
      <c r="AB37" s="32" t="n">
        <v>16</v>
      </c>
      <c r="AC37" s="31" t="inlineStr">
        <is>
          <t>Splunk Enterprise Security; Microsoft Sentinel; IBM QRadar; Elastic Security</t>
        </is>
      </c>
      <c r="AD37" s="31" t="inlineStr"/>
      <c r="AE37" s="31" t="inlineStr">
        <is>
          <t>Wazuh docs: server ขั้นต่ำ 2 vCPU / 4 GB สำหรับ &lt; 25 agents แต่แนะนำ 4 vCPU / 8 GB ขึ้นไปเมื่อรวม Indexer; Indexer เป็น OpenSearch จึงกิน RAM แบบเดียวกับ Elasticsearch</t>
        </is>
      </c>
      <c r="AF37" s="31" t="inlineStr">
        <is>
          <t>จำเป็นสำหรับ CYBER2562-R2 (เฝ้าระวัง + รายงาน สกมช. ทันที) และ PDPA-R2 (แจ้งเหตุใน 72 ชม.); ถ้ามี ELK อยู่แล้วให้พิจารณา Elastic Security แทนเพื่อไม่ต้องรัน OpenSearch ซ้อน</t>
        </is>
      </c>
    </row>
    <row r="38" ht="58" customHeight="1">
      <c r="A38" s="30" t="inlineStr">
        <is>
          <t>vault</t>
        </is>
      </c>
      <c r="B38" s="31" t="inlineStr">
        <is>
          <t>HashiCorp Vault / OpenBao (Secret Management)</t>
        </is>
      </c>
      <c r="C38" s="32" t="n">
        <v>5</v>
      </c>
      <c r="D38" s="31" t="inlineStr">
        <is>
          <t>Secret Management</t>
        </is>
      </c>
      <c r="E38" s="32" t="inlineStr">
        <is>
          <t>Optional</t>
        </is>
      </c>
      <c r="F38" s="32" t="inlineStr">
        <is>
          <t>oss</t>
        </is>
      </c>
      <c r="G38" s="32" t="inlineStr">
        <is>
          <t>BUSL-1.1 / MPL-2.0</t>
        </is>
      </c>
      <c r="H38" s="32" t="n">
        <v>2</v>
      </c>
      <c r="I38" s="32" t="n">
        <v>4</v>
      </c>
      <c r="J38" s="32" t="n">
        <v>20</v>
      </c>
      <c r="K38" s="32" t="n">
        <v>2</v>
      </c>
      <c r="L38" s="32" t="n">
        <v>4</v>
      </c>
      <c r="M38" s="32" t="n">
        <v>60</v>
      </c>
      <c r="N38" s="32" t="n">
        <v>1</v>
      </c>
      <c r="O38" s="32" t="n">
        <v>1</v>
      </c>
      <c r="P38" s="32" t="inlineStr">
        <is>
          <t>resident</t>
        </is>
      </c>
      <c r="Q38" s="32" t="inlineStr">
        <is>
          <t>resident</t>
        </is>
      </c>
      <c r="R38" s="33">
        <f>INDEX('02_Freq_Weight'!$E$3:$E$9,MATCH(Q38,'02_Freq_Weight'!$A$3:$A$9,0))</f>
        <v/>
      </c>
      <c r="S38" s="32" t="n">
        <v>0.05</v>
      </c>
      <c r="T38" s="32" t="n">
        <v>2555</v>
      </c>
      <c r="U38" s="34" t="n">
        <v>0.1</v>
      </c>
      <c r="V38" s="34" t="n">
        <v>0.15</v>
      </c>
      <c r="W38" s="31" t="inlineStr">
        <is>
          <t>secret_mgmt, iam_mfa, audit_trail</t>
        </is>
      </c>
      <c r="X38" s="31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มาตรการความปลอดภัย 2565; พ.ร.ฎ. วิธีการแบบปลอดภัย 2553</t>
        </is>
      </c>
      <c r="Y38" s="31" t="inlineStr">
        <is>
          <t>CIS Benchmarks; CIS Controls v8.1; CSA CCM v4 / STAR; ISO 22301:2019; ISO/IEC 27001:2022; ISO/IEC 27002:2022; ISO/IEC 27017; ISO/IEC 27018; ISO/IEC 27701; ISO/IEC 29100; ISO/IEC 42001:2023; NIST SP 800-207; NIST SP 800-53r5; NIST SP 800-63B; NIST CSF 2.0; NIST SSDF (SP 800-218); OWASP API Top 10:2023; OWASP ASVS 5.0; OWASP MASVS; OWASP Top 10:2025; SLSA v1.0; SOC 2 (TSC)</t>
        </is>
      </c>
      <c r="Z38" s="31" t="inlineStr">
        <is>
          <t>C-CRY-KEY, C-IAM-MFA, C-LOG-AUDIT</t>
        </is>
      </c>
      <c r="AA38" s="31" t="inlineStr">
        <is>
          <t>C-APP-AUTHN, C-IAM-LEAST, C-IAM-REMOTE, C-LOG-90, C-OPS-BCP, C-PRV-MEASURE, C-SDLC-SECRET, C-SDLC-TRACE, C-WEB-SELF</t>
        </is>
      </c>
      <c r="AB38" s="32" t="n">
        <v>12</v>
      </c>
      <c r="AC38" s="31" t="inlineStr">
        <is>
          <t>HashiCorp Vault Enterprise; Azure Key Vault; AWS Secrets Manager; CyberArk Conjur</t>
        </is>
      </c>
      <c r="AD38" s="31" t="inlineStr">
        <is>
          <t>OpenBao; Infisical; SOPS + age; Sealed Secrets</t>
        </is>
      </c>
      <c r="AE38" s="31" t="inlineStr">
        <is>
          <t>Vault แนะนำ 2 vCPU / 4-8 GB สำหรับ production ขนาดเล็ก (มี in-memory cache + audit log); ต้องมี storage backend (Raft/Consul)</t>
        </is>
      </c>
      <c r="AF38" s="31" t="inlineStr">
        <is>
          <t>ตอบ PDPA-R1 (การเข้ารหัส + Key Rotation) และ OWASP-A04; ห้ามเก็บ Credential ใน Jenkins Credentials อย่างเดียวเพราะไม่มี Rotation/Lease — Vault ต้องเปิด Audit Device ตลอดเวลา</t>
        </is>
      </c>
    </row>
    <row r="39" ht="58" customHeight="1">
      <c r="A39" s="35" t="inlineStr">
        <is>
          <t>k3s-control</t>
        </is>
      </c>
      <c r="B39" s="36" t="inlineStr">
        <is>
          <t>Kubernetes / K3s Control Plane (ต่อ 1 Node)</t>
        </is>
      </c>
      <c r="C39" s="37" t="n">
        <v>6</v>
      </c>
      <c r="D39" s="36" t="inlineStr">
        <is>
          <t>Container Orchestration</t>
        </is>
      </c>
      <c r="E39" s="37" t="inlineStr">
        <is>
          <t>Core</t>
        </is>
      </c>
      <c r="F39" s="37" t="inlineStr">
        <is>
          <t>oss</t>
        </is>
      </c>
      <c r="G39" s="37" t="inlineStr">
        <is>
          <t>Apache-2.0</t>
        </is>
      </c>
      <c r="H39" s="37" t="n">
        <v>2</v>
      </c>
      <c r="I39" s="37" t="n">
        <v>4</v>
      </c>
      <c r="J39" s="37" t="n">
        <v>40</v>
      </c>
      <c r="K39" s="37" t="n">
        <v>4</v>
      </c>
      <c r="L39" s="37" t="n">
        <v>8</v>
      </c>
      <c r="M39" s="37" t="n">
        <v>100</v>
      </c>
      <c r="N39" s="37" t="n">
        <v>1</v>
      </c>
      <c r="O39" s="37" t="n">
        <v>2.5</v>
      </c>
      <c r="P39" s="37" t="inlineStr">
        <is>
          <t>resident</t>
        </is>
      </c>
      <c r="Q39" s="37" t="inlineStr">
        <is>
          <t>resident</t>
        </is>
      </c>
      <c r="R39" s="38">
        <f>INDEX('02_Freq_Weight'!$E$3:$E$9,MATCH(Q39,'02_Freq_Weight'!$A$3:$A$9,0))</f>
        <v/>
      </c>
      <c r="S39" s="37" t="n">
        <v>0.3</v>
      </c>
      <c r="T39" s="37" t="n">
        <v>90</v>
      </c>
      <c r="U39" s="39" t="n">
        <v>0.15</v>
      </c>
      <c r="V39" s="39" t="n">
        <v>0.2</v>
      </c>
      <c r="W39" s="36" t="inlineStr">
        <is>
          <t>orchestration, deploy_strategy, iam_mfa</t>
        </is>
      </c>
      <c r="X39" s="36" t="inlineStr">
        <is>
          <t>พ.ร.บ. ไซเบอร์ 2562; มสพร. 11-2566 เว็บไซต์ภาครัฐ 3.0; ขมธอ. การใช้บริการคลาวด์; ขมธอ. ความมั่นคงปลอดภัยสารสนเทศ; มาตรฐานคลาวด์ 2567; มาตรฐานขั้นต่ำ 2566; มาตรฐานเว็บไซต์ 2568; PDPA 2562; ประกาศ PDPC มาตรการความปลอดภัย 2565; พ.ร.ฎ. วิธีการแบบปลอดภัย 2553</t>
        </is>
      </c>
      <c r="Y39" s="36" t="inlineStr">
        <is>
          <t>CIS Benchmarks; CIS Controls v8.1; CSA CCM v4 / STAR; ISO/IEC 27001:2022; ISO/IEC 27017; ISO/IEC 27018; ISO/IEC 27701; ISO/IEC 29100; NIST SP 800-207; NIST SP 800-53r5; NIST SP 800-63B; OWASP API Top 10:2023; OWASP ASVS 5.0; OWASP MASVS; OWASP Top 10:2025; SOC 2 (TSC)</t>
        </is>
      </c>
      <c r="Z39" s="36" t="inlineStr">
        <is>
          <t>C-IAM-MFA, C-OPS-DEPLOY</t>
        </is>
      </c>
      <c r="AA39" s="36" t="inlineStr">
        <is>
          <t>C-APP-AUTHN, C-IAM-LEAST, C-IAM-REMOTE, C-PRV-MEASURE</t>
        </is>
      </c>
      <c r="AB39" s="37" t="n">
        <v>6</v>
      </c>
      <c r="AC39" s="36" t="inlineStr">
        <is>
          <t>Red Hat OpenShift; Rancher Enterprise; VMware Tanzu; Google GKE Enterprise; Azure AKS</t>
        </is>
      </c>
      <c r="AD39" s="36" t="inlineStr">
        <is>
          <t>MicroK8s; K0s; Docker Swarm; Nomad; Docker Compose (UAT เท่านั้น)</t>
        </is>
      </c>
      <c r="AE39" s="36" t="inlineStr">
        <is>
          <t>K3s docs: server node ขั้นต่ำ 2 vCPU / 2 GB (แนะนำ 4 GB); kubeadm control plane ขั้นต่ำ 2 vCPU / 2 GB แต่ etcd + apiserver ที่โหลดจริงควรมี 4 GB ขึ้นไป</t>
        </is>
      </c>
      <c r="AF39" s="36" t="inlineStr">
        <is>
          <t>ถ้าโครงการยังใช้ Docker Compose อยู่ (เช่น UAT ของทั้ง 2 โครงการ) ยังไม่ต้องนับส่วนนี้ — แต่ต้องเผื่อไว้ในแผน Production เพราะ Blueprint ระบุ Container Orchestration เป็น Core</t>
        </is>
      </c>
    </row>
    <row r="40" ht="58" customHeight="1">
      <c r="A40" s="35" t="inlineStr">
        <is>
          <t>argocd</t>
        </is>
      </c>
      <c r="B40" s="36" t="inlineStr">
        <is>
          <t>Argo CD / Flux (GitOps Continuous Delivery)</t>
        </is>
      </c>
      <c r="C40" s="37" t="n">
        <v>6</v>
      </c>
      <c r="D40" s="36" t="inlineStr">
        <is>
          <t>Deployment Strategy</t>
        </is>
      </c>
      <c r="E40" s="37" t="inlineStr">
        <is>
          <t>Core</t>
        </is>
      </c>
      <c r="F40" s="37" t="inlineStr">
        <is>
          <t>oss</t>
        </is>
      </c>
      <c r="G40" s="37" t="inlineStr">
        <is>
          <t>Apache-2.0</t>
        </is>
      </c>
      <c r="H40" s="37" t="n">
        <v>2</v>
      </c>
      <c r="I40" s="37" t="n">
        <v>4</v>
      </c>
      <c r="J40" s="37" t="n">
        <v>20</v>
      </c>
      <c r="K40" s="37" t="n">
        <v>4</v>
      </c>
      <c r="L40" s="37" t="n">
        <v>8</v>
      </c>
      <c r="M40" s="37" t="n">
        <v>60</v>
      </c>
      <c r="N40" s="37" t="n">
        <v>1</v>
      </c>
      <c r="O40" s="37" t="n">
        <v>2</v>
      </c>
      <c r="P40" s="37" t="inlineStr">
        <is>
          <t>resident</t>
        </is>
      </c>
      <c r="Q40" s="37" t="inlineStr">
        <is>
          <t>resident</t>
        </is>
      </c>
      <c r="R40" s="38">
        <f>INDEX('02_Freq_Weight'!$E$3:$E$9,MATCH(Q40,'02_Freq_Weight'!$A$3:$A$9,0))</f>
        <v/>
      </c>
      <c r="S40" s="37" t="n">
        <v>0.1</v>
      </c>
      <c r="T40" s="37" t="n">
        <v>365</v>
      </c>
      <c r="U40" s="39" t="n">
        <v>0.1</v>
      </c>
      <c r="V40" s="39" t="n">
        <v>0.15</v>
      </c>
      <c r="W40" s="36" t="inlineStr">
        <is>
          <t>deploy_strategy, audit_trail, quality_gate, version_tag</t>
        </is>
      </c>
      <c r="X40" s="36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40" s="36" t="inlineStr">
        <is>
          <t>CIS Controls v8.1; ISO 22301:2019; ISO/IEC 27001:2022; ISO/IEC 27018; ISO/IEC 27034; ISO/IEC 27701; ISO/IEC 42001:2023; NIST SP 800-53r5; NIST CSF 2.0; NIST SSDF (SP 800-218); OWASP SAMM 2; OWASP Top 10:2025; SLSA v1.0; SOC 2 (TSC)</t>
        </is>
      </c>
      <c r="Z40" s="36" t="inlineStr">
        <is>
          <t>C-LOG-AUDIT</t>
        </is>
      </c>
      <c r="AA40" s="36" t="inlineStr">
        <is>
          <t>C-AI-GOV, C-LOG-90, C-OPS-BCP, C-OPS-DEPLOY, C-SC-PIN, C-SDLC-REVIEW, C-SDLC-THREAT, C-SDLC-TRACE, C-WEB-SELF</t>
        </is>
      </c>
      <c r="AB40" s="37" t="n">
        <v>10</v>
      </c>
      <c r="AC40" s="36" t="inlineStr">
        <is>
          <t>Harness CD; Spinnaker Enterprise; GitLab Premium Auto DevOps; LaunchDarkly</t>
        </is>
      </c>
      <c r="AD40" s="36" t="inlineStr"/>
      <c r="AE40" s="36" t="inlineStr">
        <is>
          <t>Argo CD ประกอบด้วย api-server, repo-server, application-controller, Redis; รวมกันขั้นต่ำ ~2 vCPU / 2-4 GB สำหรับ &lt; 50 applications</t>
        </is>
      </c>
      <c r="AF40" s="36" t="inlineStr">
        <is>
          <t>ให้ Git เป็น Single Source of Truth = ได้ Audit Trail และ Rollback ฟรีตาม CORE-R2; Argo Rollouts เพิ่ม Canary/Blue-Green ได้ด้วย resource เพิ่มเพียง ~0.5 vCPU / 0.5 GB</t>
        </is>
      </c>
    </row>
    <row r="41" ht="58" customHeight="1">
      <c r="A41" s="35" t="inlineStr">
        <is>
          <t>falco</t>
        </is>
      </c>
      <c r="B41" s="36" t="inlineStr">
        <is>
          <t>Falco (Runtime Security Monitoring, ต่อ Node)</t>
        </is>
      </c>
      <c r="C41" s="37" t="n">
        <v>6</v>
      </c>
      <c r="D41" s="36" t="inlineStr">
        <is>
          <t>Runtime Security</t>
        </is>
      </c>
      <c r="E41" s="37" t="inlineStr">
        <is>
          <t>Optional</t>
        </is>
      </c>
      <c r="F41" s="37" t="inlineStr">
        <is>
          <t>oss</t>
        </is>
      </c>
      <c r="G41" s="37" t="inlineStr">
        <is>
          <t>Apache-2.0</t>
        </is>
      </c>
      <c r="H41" s="37" t="n">
        <v>1</v>
      </c>
      <c r="I41" s="37" t="n">
        <v>2</v>
      </c>
      <c r="J41" s="37" t="n">
        <v>10</v>
      </c>
      <c r="K41" s="37" t="n">
        <v>2</v>
      </c>
      <c r="L41" s="37" t="n">
        <v>4</v>
      </c>
      <c r="M41" s="37" t="n">
        <v>30</v>
      </c>
      <c r="N41" s="37" t="n">
        <v>1</v>
      </c>
      <c r="O41" s="37" t="n">
        <v>0.8</v>
      </c>
      <c r="P41" s="37" t="inlineStr">
        <is>
          <t>resident</t>
        </is>
      </c>
      <c r="Q41" s="37" t="inlineStr">
        <is>
          <t>resident</t>
        </is>
      </c>
      <c r="R41" s="38">
        <f>INDEX('02_Freq_Weight'!$E$3:$E$9,MATCH(Q41,'02_Freq_Weight'!$A$3:$A$9,0))</f>
        <v/>
      </c>
      <c r="S41" s="37" t="n">
        <v>0.3</v>
      </c>
      <c r="T41" s="37" t="n">
        <v>90</v>
      </c>
      <c r="U41" s="39" t="n">
        <v>0.2</v>
      </c>
      <c r="V41" s="39" t="n">
        <v>0.25</v>
      </c>
      <c r="W41" s="36" t="inlineStr">
        <is>
          <t>runtime_security, siem_alert</t>
        </is>
      </c>
      <c r="X41" s="36" t="inlineStr">
        <is>
          <t>พ.ร.บ. ไซเบอร์ 2562; ขมธอ. การใช้บริการคลาวด์; ขมธอ. ความมั่นคงปลอดภัยสารสนเทศ; มาตรฐานคลาวด์ 2567; กรอบมาตรฐานไซเบอร์ 2564; มาตรฐานเว็บไซต์ 2568; PDPA 2562; ประกาศ PDPC แจ้งเหตุละเมิด 2565</t>
        </is>
      </c>
      <c r="Y41" s="36" t="inlineStr">
        <is>
          <t>CIS Benchmarks; CSA CCM v4 / STAR; ISO/IEC 27001:2022; ISO/IEC 27017; ISO/IEC 27701; ISO/IEC 42001:2023; NIST SP 800-207; NIST SP 800-53r5; NIST CSF 2.0; OWASP Top 10:2025; SOC 2 (TSC)</t>
        </is>
      </c>
      <c r="Z41" s="36" t="inlineStr">
        <is>
          <t>C-OPS-RUNTIME</t>
        </is>
      </c>
      <c r="AA41" s="36" t="inlineStr">
        <is>
          <t>C-AI-DRIFT, C-IAM-LEAST, C-LOG-NOTIFY, C-LOG-SIEM, C-PRV-BREACH</t>
        </is>
      </c>
      <c r="AB41" s="37" t="n">
        <v>6</v>
      </c>
      <c r="AC41" s="36" t="inlineStr">
        <is>
          <t>Aqua Runtime Security; Prisma Cloud Runtime Defense; Sysdig Secure; Lacework</t>
        </is>
      </c>
      <c r="AD41" s="36" t="inlineStr">
        <is>
          <t>Tetragon; KubeArmor; Tracee; Osquery</t>
        </is>
      </c>
      <c r="AE41" s="36" t="inlineStr">
        <is>
          <t>Falco ใช้ eBPF/kernel module ดักจับ syscall; RAM ~200-500 MB ต่อ node แต่ CPU เพิ่มขึ้นตาม syscall rate (ปกติ 5-15% ของ 1 core)</t>
        </is>
      </c>
      <c r="AF41" s="36" t="inlineStr">
        <is>
          <t>ภาครัฐกำหนด 'Mandatory Real-time' — ต้องลงทุก node ที่รัน container; ระวัง event flood ทำให้ Elasticsearch โตเร็วกว่าที่ประเมิน ให้ตั้ง rule ให้แคบก่อนเปิดใช้จริง</t>
        </is>
      </c>
    </row>
    <row r="42" ht="58" customHeight="1">
      <c r="A42" s="35" t="inlineStr">
        <is>
          <t>prometheus</t>
        </is>
      </c>
      <c r="B42" s="36" t="inlineStr">
        <is>
          <t>Prometheus (Metrics &amp; Alerting)</t>
        </is>
      </c>
      <c r="C42" s="37" t="n">
        <v>6</v>
      </c>
      <c r="D42" s="36" t="inlineStr">
        <is>
          <t>Monitoring</t>
        </is>
      </c>
      <c r="E42" s="37" t="inlineStr">
        <is>
          <t>Core</t>
        </is>
      </c>
      <c r="F42" s="37" t="inlineStr">
        <is>
          <t>oss</t>
        </is>
      </c>
      <c r="G42" s="37" t="inlineStr">
        <is>
          <t>Apache-2.0</t>
        </is>
      </c>
      <c r="H42" s="37" t="n">
        <v>2</v>
      </c>
      <c r="I42" s="37" t="n">
        <v>4</v>
      </c>
      <c r="J42" s="37" t="n">
        <v>40</v>
      </c>
      <c r="K42" s="37" t="n">
        <v>4</v>
      </c>
      <c r="L42" s="37" t="n">
        <v>8</v>
      </c>
      <c r="M42" s="37" t="n">
        <v>200</v>
      </c>
      <c r="N42" s="37" t="n">
        <v>1</v>
      </c>
      <c r="O42" s="37" t="n">
        <v>2.5</v>
      </c>
      <c r="P42" s="37" t="inlineStr">
        <is>
          <t>resident</t>
        </is>
      </c>
      <c r="Q42" s="37" t="inlineStr">
        <is>
          <t>resident</t>
        </is>
      </c>
      <c r="R42" s="38">
        <f>INDEX('02_Freq_Weight'!$E$3:$E$9,MATCH(Q42,'02_Freq_Weight'!$A$3:$A$9,0))</f>
        <v/>
      </c>
      <c r="S42" s="37" t="n">
        <v>0.8</v>
      </c>
      <c r="T42" s="37" t="n">
        <v>90</v>
      </c>
      <c r="U42" s="39" t="n">
        <v>0.1</v>
      </c>
      <c r="V42" s="39" t="n">
        <v>0.3</v>
      </c>
      <c r="W42" s="36" t="inlineStr">
        <is>
          <t>monitoring, siem_alert, notify</t>
        </is>
      </c>
      <c r="X42" s="36" t="inlineStr">
        <is>
          <t>พ.ร.บ. ไซเบอร์ 2562; มาตรฐานคลาวด์ 2567; กรอบมาตรฐานไซเบอร์ 2564; มาตรฐานเว็บไซต์ 2568; PDPA 2562; ประกาศ PDPC แจ้งเหตุละเมิด 2565</t>
        </is>
      </c>
      <c r="Y42" s="36" t="inlineStr">
        <is>
          <t>ISO/IEC 27701; ISO/IEC 42001:2023; NIST SP 800-207; NIST CSF 2.0; OWASP Top 10:2025; SOC 2 (TSC)</t>
        </is>
      </c>
      <c r="Z42" s="36" t="inlineStr">
        <is>
          <t>C-LOG-NOTIFY, C-LOG-SIEM, C-OPS-MONITOR</t>
        </is>
      </c>
      <c r="AA42" s="36" t="inlineStr">
        <is>
          <t>C-AI-DRIFT, C-PRV-BREACH</t>
        </is>
      </c>
      <c r="AB42" s="37" t="n">
        <v>5</v>
      </c>
      <c r="AC42" s="36" t="inlineStr">
        <is>
          <t>Datadog; Dynatrace; New Relic; Splunk; AppDynamics</t>
        </is>
      </c>
      <c r="AD42" s="36" t="inlineStr">
        <is>
          <t>VictoriaMetrics; Mimir; Zabbix; OpenTelemetry Collector</t>
        </is>
      </c>
      <c r="AE42" s="36" t="inlineStr">
        <is>
          <t>Prometheus ใช้ RAM ประมาณ 2-4 KB ต่อ active time series; 500,000 series ≈ 2-4 GB; disk ≈ 1.5-2 bytes ต่อ sample (scrape 15s = ~5,760 sample/series/วัน)</t>
        </is>
      </c>
      <c r="AF42" s="36" t="inlineStr">
        <is>
          <t>สูตรประมาณ disk: series × 5,760 × 2 bytes × retention_days; 200,000 series เก็บ 180 วัน ≈ 400 GB — ถ้า disk ไม่พอให้ลด retention เป็น 30 วันแล้วส่งต่อไป Thanos/VictoriaMetrics</t>
        </is>
      </c>
    </row>
    <row r="43" ht="58" customHeight="1">
      <c r="A43" s="35" t="inlineStr">
        <is>
          <t>grafana</t>
        </is>
      </c>
      <c r="B43" s="36" t="inlineStr">
        <is>
          <t>Grafana (Dashboard)</t>
        </is>
      </c>
      <c r="C43" s="37" t="n">
        <v>6</v>
      </c>
      <c r="D43" s="36" t="inlineStr">
        <is>
          <t>Monitoring UI</t>
        </is>
      </c>
      <c r="E43" s="37" t="inlineStr">
        <is>
          <t>Core</t>
        </is>
      </c>
      <c r="F43" s="37" t="inlineStr">
        <is>
          <t>oss</t>
        </is>
      </c>
      <c r="G43" s="37" t="inlineStr">
        <is>
          <t>AGPL-3.0</t>
        </is>
      </c>
      <c r="H43" s="37" t="n">
        <v>1</v>
      </c>
      <c r="I43" s="37" t="n">
        <v>2</v>
      </c>
      <c r="J43" s="37" t="n">
        <v>10</v>
      </c>
      <c r="K43" s="37" t="n">
        <v>2</v>
      </c>
      <c r="L43" s="37" t="n">
        <v>4</v>
      </c>
      <c r="M43" s="37" t="n">
        <v>30</v>
      </c>
      <c r="N43" s="37" t="n">
        <v>1</v>
      </c>
      <c r="O43" s="37" t="n">
        <v>0.6</v>
      </c>
      <c r="P43" s="37" t="inlineStr">
        <is>
          <t>resident</t>
        </is>
      </c>
      <c r="Q43" s="37" t="inlineStr">
        <is>
          <t>resident</t>
        </is>
      </c>
      <c r="R43" s="38">
        <f>INDEX('02_Freq_Weight'!$E$3:$E$9,MATCH(Q43,'02_Freq_Weight'!$A$3:$A$9,0))</f>
        <v/>
      </c>
      <c r="S43" s="37" t="n">
        <v>0.02</v>
      </c>
      <c r="T43" s="37" t="n">
        <v>365</v>
      </c>
      <c r="U43" s="39" t="n">
        <v>0.05</v>
      </c>
      <c r="V43" s="39" t="n">
        <v>0.15</v>
      </c>
      <c r="W43" s="36" t="inlineStr">
        <is>
          <t>monitoring</t>
        </is>
      </c>
      <c r="X43" s="36" t="inlineStr">
        <is>
          <t>พ.ร.บ. ไซเบอร์ 2562; มาตรฐานคลาวด์ 2567; กรอบมาตรฐานไซเบอร์ 2564; มาตรฐานเว็บไซต์ 2568; ประกาศ PDPC แจ้งเหตุละเมิด 2565</t>
        </is>
      </c>
      <c r="Y43" s="36" t="inlineStr">
        <is>
          <t>ISO/IEC 42001:2023; NIST SP 800-207; NIST CSF 2.0; OWASP Top 10:2025; SOC 2 (TSC)</t>
        </is>
      </c>
      <c r="Z43" s="36" t="inlineStr">
        <is>
          <t>C-OPS-MONITOR</t>
        </is>
      </c>
      <c r="AA43" s="36" t="inlineStr">
        <is>
          <t>C-AI-DRIFT, C-LOG-SIEM</t>
        </is>
      </c>
      <c r="AB43" s="37" t="n">
        <v>3</v>
      </c>
      <c r="AC43" s="36" t="inlineStr">
        <is>
          <t>Datadog Dashboards; Grafana Enterprise; New Relic One</t>
        </is>
      </c>
      <c r="AD43" s="36" t="inlineStr"/>
      <c r="AE43" s="36" t="inlineStr">
        <is>
          <t>Grafana เป็น Go binary กิน RAM 150-500 MB; ใช้ SQLite ในตัวหรือ PostgreSQL ภายนอก</t>
        </is>
      </c>
      <c r="AF43" s="36" t="inlineStr">
        <is>
          <t>License เป็น AGPL-3.0 — เช่นเดียวกับ MinIO ต้องตรวจข้อห้าม GPL/AGPL ของภาครัฐก่อนใช้เชิงพาณิชย์/ให้บริการต่อ</t>
        </is>
      </c>
    </row>
    <row r="44" ht="58" customHeight="1">
      <c r="A44" s="35" t="inlineStr">
        <is>
          <t>zabbix</t>
        </is>
      </c>
      <c r="B44" s="36" t="inlineStr">
        <is>
          <t>Zabbix Server (Infrastructure Monitoring)</t>
        </is>
      </c>
      <c r="C44" s="37" t="n">
        <v>6</v>
      </c>
      <c r="D44" s="36" t="inlineStr">
        <is>
          <t>Monitoring</t>
        </is>
      </c>
      <c r="E44" s="37" t="inlineStr">
        <is>
          <t>Optional</t>
        </is>
      </c>
      <c r="F44" s="37" t="inlineStr">
        <is>
          <t>oss</t>
        </is>
      </c>
      <c r="G44" s="37" t="inlineStr">
        <is>
          <t>AGPL-3.0</t>
        </is>
      </c>
      <c r="H44" s="37" t="n">
        <v>2</v>
      </c>
      <c r="I44" s="37" t="n">
        <v>4</v>
      </c>
      <c r="J44" s="37" t="n">
        <v>30</v>
      </c>
      <c r="K44" s="37" t="n">
        <v>4</v>
      </c>
      <c r="L44" s="37" t="n">
        <v>8</v>
      </c>
      <c r="M44" s="37" t="n">
        <v>150</v>
      </c>
      <c r="N44" s="37" t="n">
        <v>1</v>
      </c>
      <c r="O44" s="37" t="n">
        <v>2</v>
      </c>
      <c r="P44" s="37" t="inlineStr">
        <is>
          <t>resident</t>
        </is>
      </c>
      <c r="Q44" s="37" t="inlineStr">
        <is>
          <t>resident</t>
        </is>
      </c>
      <c r="R44" s="38">
        <f>INDEX('02_Freq_Weight'!$E$3:$E$9,MATCH(Q44,'02_Freq_Weight'!$A$3:$A$9,0))</f>
        <v/>
      </c>
      <c r="S44" s="37" t="n">
        <v>0.4</v>
      </c>
      <c r="T44" s="37" t="n">
        <v>365</v>
      </c>
      <c r="U44" s="39" t="n">
        <v>0.25</v>
      </c>
      <c r="V44" s="39" t="n">
        <v>0.2</v>
      </c>
      <c r="W44" s="36" t="inlineStr">
        <is>
          <t>monitoring, notify, siem_alert</t>
        </is>
      </c>
      <c r="X44" s="36" t="inlineStr">
        <is>
          <t>พ.ร.บ. ไซเบอร์ 2562; มาตรฐานคลาวด์ 2567; กรอบมาตรฐานไซเบอร์ 2564; มาตรฐานเว็บไซต์ 2568; PDPA 2562; ประกาศ PDPC แจ้งเหตุละเมิด 2565</t>
        </is>
      </c>
      <c r="Y44" s="36" t="inlineStr">
        <is>
          <t>ISO/IEC 27701; ISO/IEC 42001:2023; NIST SP 800-207; NIST CSF 2.0; OWASP Top 10:2025; SOC 2 (TSC)</t>
        </is>
      </c>
      <c r="Z44" s="36" t="inlineStr">
        <is>
          <t>C-LOG-NOTIFY, C-LOG-SIEM, C-OPS-MONITOR</t>
        </is>
      </c>
      <c r="AA44" s="36" t="inlineStr">
        <is>
          <t>C-AI-DRIFT, C-PRV-BREACH</t>
        </is>
      </c>
      <c r="AB44" s="37" t="n">
        <v>5</v>
      </c>
      <c r="AC44" s="36" t="inlineStr">
        <is>
          <t>Datadog; SolarWinds; Nagios XI; PRTG</t>
        </is>
      </c>
      <c r="AD44" s="36" t="inlineStr"/>
      <c r="AE44" s="36" t="inlineStr">
        <is>
          <t>Zabbix server ขั้นต่ำ 2 vCPU / 2 GB สำหรับ &lt; 100 hosts แต่ต้องรวม MySQL/PostgreSQL อีก 2-4 GB; disk โตตาม history + trends</t>
        </is>
      </c>
      <c r="AF44" s="36" t="inlineStr">
        <is>
          <t>ถ้าหน่วยงานมีระบบ Monitoring ส่วนกลางอยู่แล้ว (สังเกตได้จากพอร์ต 10051 ที่เปิดรออยู่บนเครื่อง) ให้ประสานส่ง metric เข้าระบบเดิม ไม่ติดตั้ง Prometheus ซ้อนอีกชุด เพื่อไม่ให้เสีย RAM ซ้ำซ้อน</t>
        </is>
      </c>
    </row>
    <row r="45" ht="58" customHeight="1">
      <c r="A45" s="35" t="inlineStr">
        <is>
          <t>ansible-chef</t>
        </is>
      </c>
      <c r="B45" s="36" t="inlineStr">
        <is>
          <t>Ansible / Chef Client (Config Management &amp; Hardening)</t>
        </is>
      </c>
      <c r="C45" s="37" t="n">
        <v>6</v>
      </c>
      <c r="D45" s="36" t="inlineStr">
        <is>
          <t>Configuration Management</t>
        </is>
      </c>
      <c r="E45" s="37" t="inlineStr">
        <is>
          <t>Optional</t>
        </is>
      </c>
      <c r="F45" s="37" t="inlineStr">
        <is>
          <t>oss</t>
        </is>
      </c>
      <c r="G45" s="37" t="inlineStr">
        <is>
          <t>GPL-3.0 / Apache-2.0</t>
        </is>
      </c>
      <c r="H45" s="37" t="n">
        <v>1</v>
      </c>
      <c r="I45" s="37" t="n">
        <v>2</v>
      </c>
      <c r="J45" s="37" t="n">
        <v>15</v>
      </c>
      <c r="K45" s="37" t="n">
        <v>2</v>
      </c>
      <c r="L45" s="37" t="n">
        <v>4</v>
      </c>
      <c r="M45" s="37" t="n">
        <v>40</v>
      </c>
      <c r="N45" s="37" t="n">
        <v>0</v>
      </c>
      <c r="O45" s="37" t="n">
        <v>0.1</v>
      </c>
      <c r="P45" s="37" t="inlineStr">
        <is>
          <t>async</t>
        </is>
      </c>
      <c r="Q45" s="37" t="inlineStr">
        <is>
          <t>nightly</t>
        </is>
      </c>
      <c r="R45" s="38">
        <f>INDEX('02_Freq_Weight'!$E$3:$E$9,MATCH(Q45,'02_Freq_Weight'!$A$3:$A$9,0))</f>
        <v/>
      </c>
      <c r="S45" s="37" t="n">
        <v>0.05</v>
      </c>
      <c r="T45" s="37" t="n">
        <v>365</v>
      </c>
      <c r="U45" s="39" t="n">
        <v>0.1</v>
      </c>
      <c r="V45" s="39" t="n">
        <v>0.15</v>
      </c>
      <c r="W45" s="36" t="inlineStr">
        <is>
          <t>config_mgmt, iac_scan, backup_dr</t>
        </is>
      </c>
      <c r="X45" s="36" t="inlineStr">
        <is>
          <t>พ.ร.บ. ไซเบอร์ 2562; มสพร. 11-2566 เว็บไซต์ภาครัฐ 3.0; ขมธอ. การใช้บริการคลาวด์; ขมธอ. ความมั่นคงปลอดภัยสารสนเทศ; มาตรฐานคลาวด์ 2567; มาตรฐานขั้นต่ำ 2566; กรอบมาตรฐานไซเบอร์ 2564; มาตรฐานเว็บไซต์ 2568; พ.ร.ฎ. วิธีการแบบปลอดภัย 2553</t>
        </is>
      </c>
      <c r="Y45" s="36" t="inlineStr">
        <is>
          <t>CIS Benchmarks; CIS Controls v8.1; ISO 22301:2019; ISO/IEC 27001:2022; ISO/IEC 27002:2022; NIST SP 800-53r5; NIST CSF 2.0; OWASP Top 10:2025; SOC 2 (TSC)</t>
        </is>
      </c>
      <c r="Z45" s="36" t="inlineStr">
        <is>
          <t>C-OPS-BACKUP, C-OPS-HARDEN, C-OPS-IAC</t>
        </is>
      </c>
      <c r="AA45" s="36" t="inlineStr">
        <is>
          <t>C-IAM-REMOTE, C-OPS-BCP</t>
        </is>
      </c>
      <c r="AB45" s="37" t="n">
        <v>5</v>
      </c>
      <c r="AC45" s="36" t="inlineStr">
        <is>
          <t>Red Hat Ansible Automation Platform; Chef Enterprise Automate; Puppet Enterprise</t>
        </is>
      </c>
      <c r="AD45" s="36" t="inlineStr"/>
      <c r="AE45" s="36" t="inlineStr">
        <is>
          <t>Ansible controller ใช้ RAM ~100 MB ต่อ fork; 10 forks ≈ 1-2 GB; Chef Client บน node กิน ~300-500 MB ต่อรอบ converge</t>
        </is>
      </c>
      <c r="AF45" s="36" t="inlineStr">
        <is>
          <t>ใช้ตรวจและบังคับ Configuration Baseline อัตโนมัติ เช่น Dual-Stack IPv4/IPv6, Kernel Parameter, Firewall Rule, การปิด service ที่ไม่ใช้ — ตอบข้อ Hardening Baseline ของ OWASP A02 และ MIN2566-R2</t>
        </is>
      </c>
    </row>
    <row r="46" ht="58" customHeight="1">
      <c r="A46" s="35" t="inlineStr">
        <is>
          <t>modsecurity</t>
        </is>
      </c>
      <c r="B46" s="36" t="inlineStr">
        <is>
          <t>ModSecurity / Coraza (Web Application Firewall)</t>
        </is>
      </c>
      <c r="C46" s="37" t="n">
        <v>6</v>
      </c>
      <c r="D46" s="36" t="inlineStr">
        <is>
          <t>WAF</t>
        </is>
      </c>
      <c r="E46" s="37" t="inlineStr">
        <is>
          <t>Optional</t>
        </is>
      </c>
      <c r="F46" s="37" t="inlineStr">
        <is>
          <t>oss</t>
        </is>
      </c>
      <c r="G46" s="37" t="inlineStr">
        <is>
          <t>Apache-2.0</t>
        </is>
      </c>
      <c r="H46" s="37" t="n">
        <v>2</v>
      </c>
      <c r="I46" s="37" t="n">
        <v>4</v>
      </c>
      <c r="J46" s="37" t="n">
        <v>15</v>
      </c>
      <c r="K46" s="37" t="n">
        <v>4</v>
      </c>
      <c r="L46" s="37" t="n">
        <v>8</v>
      </c>
      <c r="M46" s="37" t="n">
        <v>60</v>
      </c>
      <c r="N46" s="37" t="n">
        <v>1</v>
      </c>
      <c r="O46" s="37" t="n">
        <v>1</v>
      </c>
      <c r="P46" s="37" t="inlineStr">
        <is>
          <t>resident</t>
        </is>
      </c>
      <c r="Q46" s="37" t="inlineStr">
        <is>
          <t>resident</t>
        </is>
      </c>
      <c r="R46" s="38">
        <f>INDEX('02_Freq_Weight'!$E$3:$E$9,MATCH(Q46,'02_Freq_Weight'!$A$3:$A$9,0))</f>
        <v/>
      </c>
      <c r="S46" s="37" t="n">
        <v>0.4</v>
      </c>
      <c r="T46" s="37" t="n">
        <v>90</v>
      </c>
      <c r="U46" s="39" t="n">
        <v>0.15</v>
      </c>
      <c r="V46" s="39" t="n">
        <v>0.25</v>
      </c>
      <c r="W46" s="36" t="inlineStr">
        <is>
          <t>waf, tls_check</t>
        </is>
      </c>
      <c r="X46" s="36" t="inlineStr">
        <is>
          <t>มสพร. 11-2566 เว็บไซต์ภาครัฐ 3.0; พ.ร.บ. ปฏิบัติราชการทางอิเล็กทรอนิกส์ 2565; ขมธอ. ความมั่นคงปลอดภัยสารสนเทศ; มาตรฐานเว็บไซต์ 2568; PDPA 2562; ประกาศ PDPC มาตรการความปลอดภัย 2565; พ.ร.ฎ. วิธีการแบบปลอดภัย 2553</t>
        </is>
      </c>
      <c r="Y46" s="36" t="inlineStr">
        <is>
          <t>CycloneDX / ECMA-424; ISO/IEC 27018; ISO/IEC 27701; ISO/IEC 29100; NIST PQC Migration; OWASP Top 10:2025; PCI DSS v4.0</t>
        </is>
      </c>
      <c r="Z46" s="36" t="inlineStr">
        <is>
          <t>C-APP-WAF, C-CRY-TLS</t>
        </is>
      </c>
      <c r="AA46" s="36" t="inlineStr">
        <is>
          <t>C-CRY-PQC, C-PRV-MEASURE</t>
        </is>
      </c>
      <c r="AB46" s="37" t="n">
        <v>4</v>
      </c>
      <c r="AC46" s="36" t="inlineStr">
        <is>
          <t>F5 Advanced WAF; Cloudflare WAF; Imperva; Azure Application Gateway WAF; AWS WAF</t>
        </is>
      </c>
      <c r="AD46" s="36" t="inlineStr"/>
      <c r="AE46" s="36" t="inlineStr">
        <is>
          <t>ModSecurity + OWASP CRS ทำงานเป็น module ของ Nginx/Apache; เพิ่ม RAM ~500 MB - 1 GB และ CPU ~10-30% ต่อ request เมื่อเปิด rule set เต็ม</t>
        </is>
      </c>
      <c r="AF46" s="36" t="inlineStr">
        <is>
          <t>มสพร. 11-2566 'แนะนำ' แต่มาตรฐานเว็บไซต์ พ.ศ. 2568 'บังคับ' ให้ติดตั้ง WAF — ควรวางไว้ที่ Reverse Proxy หรือ API Gateway ไม่ใช่บนเครื่อง CI/CD เพราะจะกิน CPU ของ Pipeline</t>
        </is>
      </c>
    </row>
    <row r="47" ht="58" customHeight="1">
      <c r="A47" s="35" t="inlineStr">
        <is>
          <t>keycloak</t>
        </is>
      </c>
      <c r="B47" s="36" t="inlineStr">
        <is>
          <t>Keycloak (SSO / MFA / Identity)</t>
        </is>
      </c>
      <c r="C47" s="37" t="n">
        <v>6</v>
      </c>
      <c r="D47" s="36" t="inlineStr">
        <is>
          <t>Identity &amp; Access</t>
        </is>
      </c>
      <c r="E47" s="37" t="inlineStr">
        <is>
          <t>Optional</t>
        </is>
      </c>
      <c r="F47" s="37" t="inlineStr">
        <is>
          <t>oss</t>
        </is>
      </c>
      <c r="G47" s="37" t="inlineStr">
        <is>
          <t>Apache-2.0</t>
        </is>
      </c>
      <c r="H47" s="37" t="n">
        <v>2</v>
      </c>
      <c r="I47" s="37" t="n">
        <v>4</v>
      </c>
      <c r="J47" s="37" t="n">
        <v>20</v>
      </c>
      <c r="K47" s="37" t="n">
        <v>4</v>
      </c>
      <c r="L47" s="37" t="n">
        <v>8</v>
      </c>
      <c r="M47" s="37" t="n">
        <v>60</v>
      </c>
      <c r="N47" s="37" t="n">
        <v>1</v>
      </c>
      <c r="O47" s="37" t="n">
        <v>1.5</v>
      </c>
      <c r="P47" s="37" t="inlineStr">
        <is>
          <t>resident</t>
        </is>
      </c>
      <c r="Q47" s="37" t="inlineStr">
        <is>
          <t>resident</t>
        </is>
      </c>
      <c r="R47" s="38">
        <f>INDEX('02_Freq_Weight'!$E$3:$E$9,MATCH(Q47,'02_Freq_Weight'!$A$3:$A$9,0))</f>
        <v/>
      </c>
      <c r="S47" s="37" t="n">
        <v>0.1</v>
      </c>
      <c r="T47" s="37" t="n">
        <v>2555</v>
      </c>
      <c r="U47" s="39" t="n">
        <v>0.15</v>
      </c>
      <c r="V47" s="39" t="n">
        <v>0.2</v>
      </c>
      <c r="W47" s="36" t="inlineStr">
        <is>
          <t>iam_mfa, audit_trail</t>
        </is>
      </c>
      <c r="X47" s="36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มาตรการความปลอดภัย 2565; พ.ร.ฎ. วิธีการแบบปลอดภัย 2553</t>
        </is>
      </c>
      <c r="Y47" s="36" t="inlineStr">
        <is>
          <t>CIS Benchmarks; CIS Controls v8.1; CSA CCM v4 / STAR; ISO 22301:2019; ISO/IEC 27001:2022; ISO/IEC 27017; ISO/IEC 27018; ISO/IEC 27701; ISO/IEC 29100; ISO/IEC 42001:2023; NIST SP 800-207; NIST SP 800-53r5; NIST SP 800-63B; NIST CSF 2.0; NIST SSDF (SP 800-218); OWASP API Top 10:2023; OWASP ASVS 5.0; OWASP MASVS; OWASP Top 10:2025; SLSA v1.0; SOC 2 (TSC)</t>
        </is>
      </c>
      <c r="Z47" s="36" t="inlineStr">
        <is>
          <t>C-IAM-MFA, C-LOG-AUDIT</t>
        </is>
      </c>
      <c r="AA47" s="36" t="inlineStr">
        <is>
          <t>C-APP-AUTHN, C-IAM-LEAST, C-IAM-REMOTE, C-LOG-90, C-OPS-BCP, C-PRV-MEASURE, C-SDLC-TRACE, C-WEB-SELF</t>
        </is>
      </c>
      <c r="AB47" s="37" t="n">
        <v>10</v>
      </c>
      <c r="AC47" s="36" t="inlineStr">
        <is>
          <t>Microsoft Entra ID; Okta; PingFederate; ForgeRock</t>
        </is>
      </c>
      <c r="AD47" s="36" t="inlineStr"/>
      <c r="AE47" s="36" t="inlineStr">
        <is>
          <t>Keycloak เป็น Quarkus app แนะนำ heap 1-2 GB สำหรับ &lt; 10,000 users; ต้องมี PostgreSQL ภายนอกใน production</t>
        </is>
      </c>
      <c r="AF47" s="36" t="inlineStr">
        <is>
          <t>ตอบ WEB2568-R1 (MFA บังคับสำหรับบัญชีสำคัญ) และ OWASP-A07 — ถ้าองค์กรมี SSO ส่วนกลางอยู่แล้ว ให้เชื่อมต่อผ่าน OIDC/SAML แทนการติดตั้งใหม่ ซึ่งประหยัดทั้ง RAM และภาระการดูแล</t>
        </is>
      </c>
    </row>
    <row r="48" ht="58" customHeight="1">
      <c r="A48" s="35" t="inlineStr">
        <is>
          <t>velero-restic</t>
        </is>
      </c>
      <c r="B48" s="36" t="inlineStr">
        <is>
          <t>Velero / restic / pgBackRest (Backup &amp; DR)</t>
        </is>
      </c>
      <c r="C48" s="37" t="n">
        <v>6</v>
      </c>
      <c r="D48" s="36" t="inlineStr">
        <is>
          <t>Backup &amp; DR</t>
        </is>
      </c>
      <c r="E48" s="37" t="inlineStr">
        <is>
          <t>Optional</t>
        </is>
      </c>
      <c r="F48" s="37" t="inlineStr">
        <is>
          <t>oss</t>
        </is>
      </c>
      <c r="G48" s="37" t="inlineStr">
        <is>
          <t>Apache-2.0</t>
        </is>
      </c>
      <c r="H48" s="37" t="n">
        <v>1</v>
      </c>
      <c r="I48" s="37" t="n">
        <v>2</v>
      </c>
      <c r="J48" s="37" t="n">
        <v>20</v>
      </c>
      <c r="K48" s="37" t="n">
        <v>2</v>
      </c>
      <c r="L48" s="37" t="n">
        <v>4</v>
      </c>
      <c r="M48" s="37" t="n">
        <v>60</v>
      </c>
      <c r="N48" s="37" t="n">
        <v>0</v>
      </c>
      <c r="O48" s="37" t="n">
        <v>0.2</v>
      </c>
      <c r="P48" s="37" t="inlineStr">
        <is>
          <t>async</t>
        </is>
      </c>
      <c r="Q48" s="37" t="inlineStr">
        <is>
          <t>nightly</t>
        </is>
      </c>
      <c r="R48" s="38">
        <f>INDEX('02_Freq_Weight'!$E$3:$E$9,MATCH(Q48,'02_Freq_Weight'!$A$3:$A$9,0))</f>
        <v/>
      </c>
      <c r="S48" s="37" t="n">
        <v>2</v>
      </c>
      <c r="T48" s="37" t="n">
        <v>90</v>
      </c>
      <c r="U48" s="39" t="n">
        <v>0.05</v>
      </c>
      <c r="V48" s="39" t="n">
        <v>0.25</v>
      </c>
      <c r="W48" s="36" t="inlineStr">
        <is>
          <t>backup_dr</t>
        </is>
      </c>
      <c r="X48" s="36" t="inlineStr">
        <is>
          <t>พ.ร.บ. ไซเบอร์ 2562; มสพร. 11-2566 เว็บไซต์ภาครัฐ 3.0; ขมธอ. การใช้บริการคลาวด์; มาตรฐานขั้นต่ำ 2566; กรอบมาตรฐานไซเบอร์ 2564; มาตรฐานเว็บไซต์ 2568; พ.ร.ฎ. วิธีการแบบปลอดภัย 2553</t>
        </is>
      </c>
      <c r="Y48" s="36" t="inlineStr">
        <is>
          <t>CIS Controls v8.1; ISO 22301:2019; ISO/IEC 27001:2022; NIST SP 800-53r5; NIST CSF 2.0; SOC 2 (TSC)</t>
        </is>
      </c>
      <c r="Z48" s="36" t="inlineStr">
        <is>
          <t>C-OPS-BACKUP</t>
        </is>
      </c>
      <c r="AA48" s="36" t="inlineStr">
        <is>
          <t>C-OPS-BCP</t>
        </is>
      </c>
      <c r="AB48" s="37" t="n">
        <v>2</v>
      </c>
      <c r="AC48" s="36" t="inlineStr">
        <is>
          <t>Veeam; Commvault; Rubrik; Azure Backup</t>
        </is>
      </c>
      <c r="AD48" s="36" t="inlineStr"/>
      <c r="AE48" s="36" t="inlineStr">
        <is>
          <t>restic/Velero ใช้ RAM ~500 MB - 2 GB ตอน backup (dedup index อยู่ใน RAM); ปริมาณ backup = ขนาดข้อมูล × จำนวน full copy + incremental</t>
        </is>
      </c>
      <c r="AF48" s="36" t="inlineStr">
        <is>
          <t>MIN2566-R4 บังคับซ้อมแผน BCP ทุกปี และ CYBER2562-R3 บังคับแผนกู้คืนสำหรับ CII — Backup ต้องเก็บแยกเครื่อง/แยก site และต้องทดสอบ Restore จริง ไม่ใช่แค่ Backup ผ่าน</t>
        </is>
      </c>
    </row>
    <row r="49" ht="58" customHeight="1">
      <c r="A49" s="35" t="inlineStr">
        <is>
          <t>prowler</t>
        </is>
      </c>
      <c r="B49" s="36" t="inlineStr">
        <is>
          <t>Prowler / ScoutSuite (Cloud &amp; Infra Posture Scan)</t>
        </is>
      </c>
      <c r="C49" s="37" t="n">
        <v>6</v>
      </c>
      <c r="D49" s="36" t="inlineStr">
        <is>
          <t>CSPM</t>
        </is>
      </c>
      <c r="E49" s="37" t="inlineStr">
        <is>
          <t>Optional</t>
        </is>
      </c>
      <c r="F49" s="37" t="inlineStr">
        <is>
          <t>oss</t>
        </is>
      </c>
      <c r="G49" s="37" t="inlineStr">
        <is>
          <t>Apache-2.0</t>
        </is>
      </c>
      <c r="H49" s="37" t="n">
        <v>2</v>
      </c>
      <c r="I49" s="37" t="n">
        <v>4</v>
      </c>
      <c r="J49" s="37" t="n">
        <v>15</v>
      </c>
      <c r="K49" s="37" t="n">
        <v>2</v>
      </c>
      <c r="L49" s="37" t="n">
        <v>4</v>
      </c>
      <c r="M49" s="37" t="n">
        <v>40</v>
      </c>
      <c r="N49" s="37" t="n">
        <v>0</v>
      </c>
      <c r="O49" s="37" t="n">
        <v>0</v>
      </c>
      <c r="P49" s="37" t="inlineStr">
        <is>
          <t>async</t>
        </is>
      </c>
      <c r="Q49" s="37" t="inlineStr">
        <is>
          <t>weekly</t>
        </is>
      </c>
      <c r="R49" s="38">
        <f>INDEX('02_Freq_Weight'!$E$3:$E$9,MATCH(Q49,'02_Freq_Weight'!$A$3:$A$9,0))</f>
        <v/>
      </c>
      <c r="S49" s="37" t="n">
        <v>0.05</v>
      </c>
      <c r="T49" s="37" t="n">
        <v>730</v>
      </c>
      <c r="U49" s="39" t="n">
        <v>0.1</v>
      </c>
      <c r="V49" s="39" t="n">
        <v>0.15</v>
      </c>
      <c r="W49" s="36" t="inlineStr">
        <is>
          <t>cspm, iac_scan, config_mgmt</t>
        </is>
      </c>
      <c r="X49" s="36" t="inlineStr">
        <is>
          <t>ขมธอ. การใช้บริการคลาวด์; ขมธอ. ความมั่นคงปลอดภัยสารสนเทศ; มาตรฐานคลาวด์ 2567; มาตรฐานขั้นต่ำ 2566; กรอบมาตรฐานไซเบอร์ 2564</t>
        </is>
      </c>
      <c r="Y49" s="36" t="inlineStr">
        <is>
          <t>CIS Benchmarks; CIS Controls v8.1; CSA CCM v4 / STAR; ISO/IEC 27001:2022; ISO/IEC 27002:2022; ISO/IEC 27017; NIST SP 800-53r5; NIST CSF 2.0; OWASP Top 10:2025</t>
        </is>
      </c>
      <c r="Z49" s="36" t="inlineStr">
        <is>
          <t>C-OPS-CSPM, C-OPS-HARDEN, C-OPS-IAC</t>
        </is>
      </c>
      <c r="AA49" s="36" t="inlineStr">
        <is>
          <t>C-IAM-REMOTE</t>
        </is>
      </c>
      <c r="AB49" s="37" t="n">
        <v>4</v>
      </c>
      <c r="AC49" s="36" t="inlineStr">
        <is>
          <t>Prisma Cloud; Wiz; Orca Security; Microsoft Defender for Cloud</t>
        </is>
      </c>
      <c r="AD49" s="36" t="inlineStr"/>
      <c r="AE49" s="36" t="inlineStr">
        <is>
          <t>Prowler เป็น Python CLI เรียก API ของ cloud provider; RAM 1-2 GB, เวลารัน 10-60 นาทีตามขนาด account</t>
        </is>
      </c>
      <c r="AF49" s="36" t="inlineStr">
        <is>
          <t>ตอบ CLOUD2567-R1 — Prowler ออกแบบมาสำหรับ Cloud API ถ้าระบบเป็น On-premise ล้วน ให้ใช้ CIS Benchmark scanner เช่น OpenSCAP หรือ Lynis แทน</t>
        </is>
      </c>
    </row>
    <row r="50" ht="58" customHeight="1">
      <c r="A50" s="30" t="inlineStr">
        <is>
          <t>mlflow</t>
        </is>
      </c>
      <c r="B50" s="31" t="inlineStr">
        <is>
          <t>MLflow (Experiment Tracking + Model Registry)</t>
        </is>
      </c>
      <c r="C50" s="32" t="n">
        <v>5</v>
      </c>
      <c r="D50" s="31" t="inlineStr">
        <is>
          <t>Model Registry</t>
        </is>
      </c>
      <c r="E50" s="32" t="inlineStr">
        <is>
          <t>Core</t>
        </is>
      </c>
      <c r="F50" s="32" t="inlineStr">
        <is>
          <t>oss</t>
        </is>
      </c>
      <c r="G50" s="32" t="inlineStr">
        <is>
          <t>Apache-2.0</t>
        </is>
      </c>
      <c r="H50" s="32" t="n">
        <v>2</v>
      </c>
      <c r="I50" s="32" t="n">
        <v>4</v>
      </c>
      <c r="J50" s="32" t="n">
        <v>20</v>
      </c>
      <c r="K50" s="32" t="n">
        <v>4</v>
      </c>
      <c r="L50" s="32" t="n">
        <v>8</v>
      </c>
      <c r="M50" s="32" t="n">
        <v>200</v>
      </c>
      <c r="N50" s="32" t="n">
        <v>1</v>
      </c>
      <c r="O50" s="32" t="n">
        <v>1.5</v>
      </c>
      <c r="P50" s="32" t="inlineStr">
        <is>
          <t>resident</t>
        </is>
      </c>
      <c r="Q50" s="32" t="inlineStr">
        <is>
          <t>resident</t>
        </is>
      </c>
      <c r="R50" s="33">
        <f>INDEX('02_Freq_Weight'!$E$3:$E$9,MATCH(Q50,'02_Freq_Weight'!$A$3:$A$9,0))</f>
        <v/>
      </c>
      <c r="S50" s="32" t="n">
        <v>0.5</v>
      </c>
      <c r="T50" s="32" t="n">
        <v>730</v>
      </c>
      <c r="U50" s="34" t="n">
        <v>0.15</v>
      </c>
      <c r="V50" s="34" t="n">
        <v>0.4</v>
      </c>
      <c r="W50" s="31" t="inlineStr">
        <is>
          <t>version_tag, registry, audit_trail, artifact_sign</t>
        </is>
      </c>
      <c r="X50" s="3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50" s="31" t="inlineStr">
        <is>
          <t>ISO 22301:2019; ISO/IEC 27001:2022; ISO/IEC 27018; ISO/IEC 27701; ISO/IEC 42001:2023; NIST SP 800-161r1; NIST SP 800-53r5; NIST CSF 2.0; NIST SSDF (SP 800-218); OWASP Top 10:2025; SLSA v1.0; SOC 2 (TSC)</t>
        </is>
      </c>
      <c r="Z50" s="31" t="inlineStr">
        <is>
          <t>C-LOG-AUDIT, C-SC-REGISTRY, C-SC-SIGN</t>
        </is>
      </c>
      <c r="AA50" s="31" t="inlineStr">
        <is>
          <t>C-AI-GOV, C-LOG-90, C-OPS-BCP, C-SC-PIN, C-SDLC-TRACE, C-WEB-SELF</t>
        </is>
      </c>
      <c r="AB50" s="32" t="n">
        <v>9</v>
      </c>
      <c r="AC50" s="31" t="inlineStr">
        <is>
          <t>Azure ML; AWS SageMaker Model Registry; Databricks Model Registry; Weights &amp; Biases; Neptune.ai</t>
        </is>
      </c>
      <c r="AD50" s="31" t="inlineStr"/>
      <c r="AE50" s="31" t="inlineStr">
        <is>
          <t>MLflow tracking server เป็น Flask/Gunicorn ใช้ RAM ~500 MB - 2 GB; artifact store ควรชี้ไป MinIO/S3 ไม่ใช่ local disk</t>
        </is>
      </c>
      <c r="AF50" s="31" t="inlineStr">
        <is>
          <t>จำเป็นเมื่อต้อง Track Experiment และ Model Version; ถ้าโครงการมีขั้นตอนประเมินผลโมเดล (Model / LLM Evaluation) ควรผูกผลการประเมินเข้ากับ Model Registry เพื่อตรวจย้อนหลังได้ว่า เวอร์ชันไหนผ่านเกณฑ์อะไร</t>
        </is>
      </c>
    </row>
    <row r="51" ht="58" customHeight="1">
      <c r="A51" s="25" t="inlineStr">
        <is>
          <t>llm-eval</t>
        </is>
      </c>
      <c r="B51" s="26" t="inlineStr">
        <is>
          <t>LLM Evaluation Runner (AI/LLM Eval Harness)</t>
        </is>
      </c>
      <c r="C51" s="27" t="n">
        <v>4</v>
      </c>
      <c r="D51" s="26" t="inlineStr">
        <is>
          <t>AI Model Evaluation</t>
        </is>
      </c>
      <c r="E51" s="27" t="inlineStr">
        <is>
          <t>Optional</t>
        </is>
      </c>
      <c r="F51" s="27" t="inlineStr">
        <is>
          <t>oss</t>
        </is>
      </c>
      <c r="G51" s="27" t="inlineStr">
        <is>
          <t>MIT</t>
        </is>
      </c>
      <c r="H51" s="27" t="n">
        <v>4</v>
      </c>
      <c r="I51" s="27" t="n">
        <v>8</v>
      </c>
      <c r="J51" s="27" t="n">
        <v>40</v>
      </c>
      <c r="K51" s="27" t="n">
        <v>8</v>
      </c>
      <c r="L51" s="27" t="n">
        <v>16</v>
      </c>
      <c r="M51" s="27" t="n">
        <v>120</v>
      </c>
      <c r="N51" s="27" t="n">
        <v>0</v>
      </c>
      <c r="O51" s="27" t="n">
        <v>0</v>
      </c>
      <c r="P51" s="27" t="inlineStr">
        <is>
          <t>load</t>
        </is>
      </c>
      <c r="Q51" s="27" t="inlineStr">
        <is>
          <t>per_build</t>
        </is>
      </c>
      <c r="R51" s="28">
        <f>INDEX('02_Freq_Weight'!$E$3:$E$9,MATCH(Q51,'02_Freq_Weight'!$A$3:$A$9,0))</f>
        <v/>
      </c>
      <c r="S51" s="27" t="n">
        <v>0.2</v>
      </c>
      <c r="T51" s="27" t="n">
        <v>365</v>
      </c>
      <c r="U51" s="29" t="n">
        <v>0.1</v>
      </c>
      <c r="V51" s="29" t="n">
        <v>0.3</v>
      </c>
      <c r="W51" s="26" t="inlineStr">
        <is>
          <t>unit_test, integration_test, quality_gate</t>
        </is>
      </c>
      <c r="X51" s="26" t="inlineStr">
        <is>
          <t>-</t>
        </is>
      </c>
      <c r="Y51" s="26" t="inlineStr">
        <is>
          <t>ISO/IEC 25010:2023; ISO/IEC 27001:2022; ISO/IEC 27034; ISO/IEC 42001:2023; NIST SSDF (SP 800-218); OWASP SAMM 2; OWASP Top 10:2025; SOC 2 (TSC)</t>
        </is>
      </c>
      <c r="Z51" s="26" t="inlineStr">
        <is>
          <t>C-SDLC-TEST</t>
        </is>
      </c>
      <c r="AA51" s="26" t="inlineStr">
        <is>
          <t>C-AI-GOV, C-SDLC-QUALITY, C-SDLC-REVIEW, C-SDLC-THREAT</t>
        </is>
      </c>
      <c r="AB51" s="27" t="n">
        <v>5</v>
      </c>
      <c r="AC51" s="26" t="inlineStr">
        <is>
          <t>Azure ML Quality Gates; SageMaker Model Monitor; Databricks Model Serving</t>
        </is>
      </c>
      <c r="AD51" s="26" t="inlineStr"/>
      <c r="AE51" s="26" t="inlineStr">
        <is>
          <t>การประเมิน LLM ผ่าน API ภายนอกใช้ CPU/RAM ไม่มาก (I/O bound) แต่ถ้ารัน model ในเครื่องต้องมี GPU; batch eval ขนาดกลางใช้ 4 vCPU / 8 GB</t>
        </is>
      </c>
      <c r="AF51" s="26" t="inlineStr">
        <is>
          <t>ถ้าใช้ AI Model-as-a-Service ภายนอก งานนี้จะเป็น I/O bound ใช้ CPU/RAM ไม่มาก แต่ต้อง whitelist ปลายทางที่ Proxy; ข้อควรระวังคือมักถูกวางรวมกับ Load Test, Search Engine และ Object Storage บนเครื่องเดียว จึงต้องคุมด้วยตารางเวลาไม่ให้รันทับกัน</t>
        </is>
      </c>
    </row>
    <row r="52" ht="58" customHeight="1">
      <c r="A52" s="20" t="inlineStr">
        <is>
          <t>gpu-training</t>
        </is>
      </c>
      <c r="B52" s="21" t="inlineStr">
        <is>
          <t>GPU Training Node (Model Training / Fine-tune)</t>
        </is>
      </c>
      <c r="C52" s="22" t="n">
        <v>3</v>
      </c>
      <c r="D52" s="21" t="inlineStr">
        <is>
          <t>AI Model Training</t>
        </is>
      </c>
      <c r="E52" s="22" t="inlineStr">
        <is>
          <t>Optional</t>
        </is>
      </c>
      <c r="F52" s="22" t="inlineStr">
        <is>
          <t>oss</t>
        </is>
      </c>
      <c r="G52" s="22" t="inlineStr">
        <is>
          <t>N/A</t>
        </is>
      </c>
      <c r="H52" s="22" t="n">
        <v>8</v>
      </c>
      <c r="I52" s="22" t="n">
        <v>16</v>
      </c>
      <c r="J52" s="22" t="n">
        <v>200</v>
      </c>
      <c r="K52" s="22" t="n">
        <v>16</v>
      </c>
      <c r="L52" s="22" t="n">
        <v>64</v>
      </c>
      <c r="M52" s="22" t="n">
        <v>1000</v>
      </c>
      <c r="N52" s="22" t="n">
        <v>0</v>
      </c>
      <c r="O52" s="22" t="n">
        <v>0</v>
      </c>
      <c r="P52" s="22" t="inlineStr">
        <is>
          <t>load</t>
        </is>
      </c>
      <c r="Q52" s="22" t="inlineStr">
        <is>
          <t>weekly</t>
        </is>
      </c>
      <c r="R52" s="23">
        <f>INDEX('02_Freq_Weight'!$E$3:$E$9,MATCH(Q52,'02_Freq_Weight'!$A$3:$A$9,0))</f>
        <v/>
      </c>
      <c r="S52" s="22" t="n">
        <v>5</v>
      </c>
      <c r="T52" s="22" t="n">
        <v>180</v>
      </c>
      <c r="U52" s="24" t="n">
        <v>0.1</v>
      </c>
      <c r="V52" s="24" t="n">
        <v>0.4</v>
      </c>
      <c r="W52" s="21" t="inlineStr">
        <is>
          <t>build</t>
        </is>
      </c>
      <c r="X52" s="21" t="inlineStr">
        <is>
          <t>-</t>
        </is>
      </c>
      <c r="Y52" s="21" t="inlineStr">
        <is>
          <t>CIS Benchmarks; NIST SSDF (SP 800-218); OWASP Top 10:2025; SLSA v1.0</t>
        </is>
      </c>
      <c r="Z52" s="21" t="inlineStr">
        <is>
          <t>-</t>
        </is>
      </c>
      <c r="AA52" s="21" t="inlineStr">
        <is>
          <t>C-SC-IMG, C-SC-PIN</t>
        </is>
      </c>
      <c r="AB52" s="22" t="n">
        <v>2</v>
      </c>
      <c r="AC52" s="21" t="inlineStr">
        <is>
          <t>Azure ML Compute; AWS SageMaker Training; Google Vertex AI; Databricks</t>
        </is>
      </c>
      <c r="AD52" s="21" t="inlineStr"/>
      <c r="AE52" s="21" t="inlineStr">
        <is>
          <t>Training node ต้องมี GPU (เช่น H100/A100) + RAM &gt;= 2 เท่าของ VRAM + NVMe สำหรับ dataset; CPU 8 core ขึ้นไปเพื่อป้อนข้อมูลไม่ให้ GPU รอ</t>
        </is>
      </c>
      <c r="AF52" s="21" t="inlineStr">
        <is>
          <t>สภาพแวดล้อมของหน่วยงานหลายแห่งไม่รองรับ GPU ทำให้ต้องแยก Training Node ออกไปภายนอก — ข้อจำกัดนี้ต้องระบุใน TOR ให้ชัดว่าใครรับผิดชอบจัดหา GPU และเชื่อมต่อกันอย่างไร ไม่งั้นจะกลายเป็นข้อพิพาทตอนส่งมอบ</t>
        </is>
      </c>
    </row>
    <row r="53" ht="58" customHeight="1">
      <c r="A53" s="30" t="inlineStr">
        <is>
          <t>redis</t>
        </is>
      </c>
      <c r="B53" s="31" t="inlineStr">
        <is>
          <t>Redis (Cache สำหรับเครื่องมือ CI/CD)</t>
        </is>
      </c>
      <c r="C53" s="32" t="n">
        <v>5</v>
      </c>
      <c r="D53" s="31" t="inlineStr">
        <is>
          <t>Supporting Cache</t>
        </is>
      </c>
      <c r="E53" s="32" t="inlineStr">
        <is>
          <t>Optional</t>
        </is>
      </c>
      <c r="F53" s="32" t="inlineStr">
        <is>
          <t>oss</t>
        </is>
      </c>
      <c r="G53" s="32" t="inlineStr">
        <is>
          <t>RSALv2 / SSPL</t>
        </is>
      </c>
      <c r="H53" s="32" t="n">
        <v>1</v>
      </c>
      <c r="I53" s="32" t="n">
        <v>2</v>
      </c>
      <c r="J53" s="32" t="n">
        <v>10</v>
      </c>
      <c r="K53" s="32" t="n">
        <v>2</v>
      </c>
      <c r="L53" s="32" t="n">
        <v>4</v>
      </c>
      <c r="M53" s="32" t="n">
        <v>30</v>
      </c>
      <c r="N53" s="32" t="n">
        <v>1</v>
      </c>
      <c r="O53" s="32" t="n">
        <v>1</v>
      </c>
      <c r="P53" s="32" t="inlineStr">
        <is>
          <t>resident</t>
        </is>
      </c>
      <c r="Q53" s="32" t="inlineStr">
        <is>
          <t>resident</t>
        </is>
      </c>
      <c r="R53" s="33">
        <f>INDEX('02_Freq_Weight'!$E$3:$E$9,MATCH(Q53,'02_Freq_Weight'!$A$3:$A$9,0))</f>
        <v/>
      </c>
      <c r="S53" s="32" t="n">
        <v>0.05</v>
      </c>
      <c r="T53" s="32" t="n">
        <v>30</v>
      </c>
      <c r="U53" s="34" t="n">
        <v>0.1</v>
      </c>
      <c r="V53" s="34" t="n">
        <v>0.2</v>
      </c>
      <c r="W53" s="31" t="inlineStr">
        <is>
          <t>monitoring</t>
        </is>
      </c>
      <c r="X53" s="31" t="inlineStr">
        <is>
          <t>พ.ร.บ. ไซเบอร์ 2562; มาตรฐานคลาวด์ 2567; กรอบมาตรฐานไซเบอร์ 2564; มาตรฐานเว็บไซต์ 2568; ประกาศ PDPC แจ้งเหตุละเมิด 2565</t>
        </is>
      </c>
      <c r="Y53" s="31" t="inlineStr">
        <is>
          <t>ISO/IEC 42001:2023; NIST SP 800-207; NIST CSF 2.0; OWASP Top 10:2025; SOC 2 (TSC)</t>
        </is>
      </c>
      <c r="Z53" s="31" t="inlineStr">
        <is>
          <t>C-OPS-MONITOR</t>
        </is>
      </c>
      <c r="AA53" s="31" t="inlineStr">
        <is>
          <t>C-AI-DRIFT, C-LOG-SIEM</t>
        </is>
      </c>
      <c r="AB53" s="32" t="n">
        <v>3</v>
      </c>
      <c r="AC53" s="31" t="inlineStr">
        <is>
          <t>Azure Cache for Redis; AWS ElastiCache; Redis Enterprise</t>
        </is>
      </c>
      <c r="AD53" s="31" t="inlineStr"/>
      <c r="AE53" s="31" t="inlineStr">
        <is>
          <t>Redis เก็บข้อมูลใน RAM ทั้งหมด — ขนาด RAM = ขนาด dataset × 1.5 (เผื่อ fragmentation + COW ตอน BGSAVE); ต้องตั้ง maxmemory-policy</t>
        </is>
      </c>
      <c r="AF53" s="31" t="inlineStr">
        <is>
          <t>Harbor, Argo CD และ GitLab ต่างต้องใช้ Redis — ควรใช้ instance เดียวแล้วแยก database index แทนการรัน 3 instance ซึ่งประหยัด RAM ได้ 2-3 GB</t>
        </is>
      </c>
    </row>
    <row r="54" ht="58" customHeight="1">
      <c r="A54" s="30" t="inlineStr">
        <is>
          <t>rabbitmq</t>
        </is>
      </c>
      <c r="B54" s="31" t="inlineStr">
        <is>
          <t>RabbitMQ (Message Queue)</t>
        </is>
      </c>
      <c r="C54" s="32" t="n">
        <v>5</v>
      </c>
      <c r="D54" s="31" t="inlineStr">
        <is>
          <t>Supporting Queue</t>
        </is>
      </c>
      <c r="E54" s="32" t="inlineStr">
        <is>
          <t>Optional</t>
        </is>
      </c>
      <c r="F54" s="32" t="inlineStr">
        <is>
          <t>oss</t>
        </is>
      </c>
      <c r="G54" s="32" t="inlineStr">
        <is>
          <t>MPL-2.0</t>
        </is>
      </c>
      <c r="H54" s="32" t="n">
        <v>2</v>
      </c>
      <c r="I54" s="32" t="n">
        <v>4</v>
      </c>
      <c r="J54" s="32" t="n">
        <v>15</v>
      </c>
      <c r="K54" s="32" t="n">
        <v>2</v>
      </c>
      <c r="L54" s="32" t="n">
        <v>4</v>
      </c>
      <c r="M54" s="32" t="n">
        <v>60</v>
      </c>
      <c r="N54" s="32" t="n">
        <v>1</v>
      </c>
      <c r="O54" s="32" t="n">
        <v>1.5</v>
      </c>
      <c r="P54" s="32" t="inlineStr">
        <is>
          <t>resident</t>
        </is>
      </c>
      <c r="Q54" s="32" t="inlineStr">
        <is>
          <t>resident</t>
        </is>
      </c>
      <c r="R54" s="33">
        <f>INDEX('02_Freq_Weight'!$E$3:$E$9,MATCH(Q54,'02_Freq_Weight'!$A$3:$A$9,0))</f>
        <v/>
      </c>
      <c r="S54" s="32" t="n">
        <v>0.1</v>
      </c>
      <c r="T54" s="32" t="n">
        <v>30</v>
      </c>
      <c r="U54" s="34" t="n">
        <v>0.1</v>
      </c>
      <c r="V54" s="34" t="n">
        <v>0.2</v>
      </c>
      <c r="W54" s="31" t="inlineStr">
        <is>
          <t>monitoring</t>
        </is>
      </c>
      <c r="X54" s="31" t="inlineStr">
        <is>
          <t>พ.ร.บ. ไซเบอร์ 2562; มาตรฐานคลาวด์ 2567; กรอบมาตรฐานไซเบอร์ 2564; มาตรฐานเว็บไซต์ 2568; ประกาศ PDPC แจ้งเหตุละเมิด 2565</t>
        </is>
      </c>
      <c r="Y54" s="31" t="inlineStr">
        <is>
          <t>ISO/IEC 42001:2023; NIST SP 800-207; NIST CSF 2.0; OWASP Top 10:2025; SOC 2 (TSC)</t>
        </is>
      </c>
      <c r="Z54" s="31" t="inlineStr">
        <is>
          <t>C-OPS-MONITOR</t>
        </is>
      </c>
      <c r="AA54" s="31" t="inlineStr">
        <is>
          <t>C-AI-DRIFT, C-LOG-SIEM</t>
        </is>
      </c>
      <c r="AB54" s="32" t="n">
        <v>3</v>
      </c>
      <c r="AC54" s="31" t="inlineStr">
        <is>
          <t>Azure Service Bus; AWS SQS; IBM MQ</t>
        </is>
      </c>
      <c r="AD54" s="31" t="inlineStr"/>
      <c r="AE54" s="31" t="inlineStr">
        <is>
          <t>RabbitMQ ต้องมี disk free &gt;= 1-2 GB (disk_free_limit) ไม่งั้นจะ block publisher; RAM watermark ค่าปริยาย 40% ของ RAM เครื่อง</t>
        </is>
      </c>
      <c r="AF54" s="31" t="inlineStr">
        <is>
          <t>โดยปกติเป็นของฝั่ง Application ไม่ใช่ CI/CD แต่ต้องนับรวมถ้าถูกวางบนเครื่องเดียวกับ Pipeline เพราะ RAM watermark ค่าปริยาย 40% ของเครื่องจะกินโควตาของงาน Build ไปด้วย</t>
        </is>
      </c>
    </row>
    <row r="55" ht="58" customHeight="1">
      <c r="A55" s="30" t="inlineStr">
        <is>
          <t>sftp-nfs</t>
        </is>
      </c>
      <c r="B55" s="31" t="inlineStr">
        <is>
          <t>SFTP / NFS File Server</t>
        </is>
      </c>
      <c r="C55" s="32" t="n">
        <v>5</v>
      </c>
      <c r="D55" s="31" t="inlineStr">
        <is>
          <t>File Transfer</t>
        </is>
      </c>
      <c r="E55" s="32" t="inlineStr">
        <is>
          <t>Optional</t>
        </is>
      </c>
      <c r="F55" s="32" t="inlineStr">
        <is>
          <t>oss</t>
        </is>
      </c>
      <c r="G55" s="32" t="inlineStr">
        <is>
          <t>BSD</t>
        </is>
      </c>
      <c r="H55" s="32" t="n">
        <v>1</v>
      </c>
      <c r="I55" s="32" t="n">
        <v>2</v>
      </c>
      <c r="J55" s="32" t="n">
        <v>20</v>
      </c>
      <c r="K55" s="32" t="n">
        <v>2</v>
      </c>
      <c r="L55" s="32" t="n">
        <v>4</v>
      </c>
      <c r="M55" s="32" t="n">
        <v>500</v>
      </c>
      <c r="N55" s="32" t="n">
        <v>1</v>
      </c>
      <c r="O55" s="32" t="n">
        <v>0.3</v>
      </c>
      <c r="P55" s="32" t="inlineStr">
        <is>
          <t>resident</t>
        </is>
      </c>
      <c r="Q55" s="32" t="inlineStr">
        <is>
          <t>resident</t>
        </is>
      </c>
      <c r="R55" s="33">
        <f>INDEX('02_Freq_Weight'!$E$3:$E$9,MATCH(Q55,'02_Freq_Weight'!$A$3:$A$9,0))</f>
        <v/>
      </c>
      <c r="S55" s="32" t="n">
        <v>0.5</v>
      </c>
      <c r="T55" s="32" t="n">
        <v>180</v>
      </c>
      <c r="U55" s="34" t="n">
        <v>0.05</v>
      </c>
      <c r="V55" s="34" t="n">
        <v>0.25</v>
      </c>
      <c r="W55" s="31" t="inlineStr">
        <is>
          <t>backup_dr, registry</t>
        </is>
      </c>
      <c r="X55" s="31" t="inlineStr">
        <is>
          <t>พ.ร.บ. ไซเบอร์ 2562; มสพร. 11-2566 เว็บไซต์ภาครัฐ 3.0; ขมธอ. การใช้บริการคลาวด์; มาตรฐานขั้นต่ำ 2566; กรอบมาตรฐานไซเบอร์ 2564; มาตรฐานเว็บไซต์ 2568; พ.ร.ฎ. วิธีการแบบปลอดภัย 2553</t>
        </is>
      </c>
      <c r="Y55" s="31" t="inlineStr">
        <is>
          <t>CIS Controls v8.1; ISO 22301:2019; ISO/IEC 27001:2022; ISO/IEC 42001:2023; NIST SP 800-161r1; NIST SP 800-53r5; NIST CSF 2.0; OWASP Top 10:2025; SOC 2 (TSC)</t>
        </is>
      </c>
      <c r="Z55" s="31" t="inlineStr">
        <is>
          <t>C-OPS-BACKUP, C-SC-REGISTRY</t>
        </is>
      </c>
      <c r="AA55" s="31" t="inlineStr">
        <is>
          <t>C-AI-GOV, C-OPS-BCP</t>
        </is>
      </c>
      <c r="AB55" s="32" t="n">
        <v>4</v>
      </c>
      <c r="AC55" s="31" t="inlineStr">
        <is>
          <t>Azure Files; AWS EFS; NetApp</t>
        </is>
      </c>
      <c r="AD55" s="31" t="inlineStr"/>
      <c r="AE55" s="31" t="inlineStr">
        <is>
          <t>sshd/nfsd กิน RAM น้อย (&lt; 300 MB) แต่ throughput ขึ้นกับ disk I/O และ network; ต้องเผื่อ page cache</t>
        </is>
      </c>
      <c r="AF55" s="31" t="inlineStr">
        <is>
          <t>มักถูกวางรวมกับ Object Storage และ Container Runtime บนเครื่องเดียว ต้องตรวจว่า RAM เหลือพอ สำหรับ metadata cache ของ Object Storage หรือไม่ เพราะ page cache ของ NFS แย่งพื้นที่เดียวกัน</t>
        </is>
      </c>
    </row>
    <row r="56" ht="58" customHeight="1">
      <c r="A56" s="15" t="inlineStr">
        <is>
          <t>scancode</t>
        </is>
      </c>
      <c r="B56" s="16" t="inlineStr">
        <is>
          <t>ScanCode Toolkit / License Finder (License Compliance แบบ Permissive)</t>
        </is>
      </c>
      <c r="C56" s="17" t="n">
        <v>2</v>
      </c>
      <c r="D56" s="16" t="inlineStr">
        <is>
          <t>License Compliance</t>
        </is>
      </c>
      <c r="E56" s="17" t="inlineStr">
        <is>
          <t>Optional</t>
        </is>
      </c>
      <c r="F56" s="17" t="inlineStr">
        <is>
          <t>oss</t>
        </is>
      </c>
      <c r="G56" s="17" t="inlineStr">
        <is>
          <t>Apache-2.0</t>
        </is>
      </c>
      <c r="H56" s="17" t="n">
        <v>2</v>
      </c>
      <c r="I56" s="17" t="n">
        <v>4</v>
      </c>
      <c r="J56" s="17" t="n">
        <v>15</v>
      </c>
      <c r="K56" s="17" t="n">
        <v>2</v>
      </c>
      <c r="L56" s="17" t="n">
        <v>4</v>
      </c>
      <c r="M56" s="17" t="n">
        <v>40</v>
      </c>
      <c r="N56" s="17" t="n">
        <v>0</v>
      </c>
      <c r="O56" s="17" t="n">
        <v>0</v>
      </c>
      <c r="P56" s="17" t="inlineStr">
        <is>
          <t>ci_seq</t>
        </is>
      </c>
      <c r="Q56" s="17" t="inlineStr">
        <is>
          <t>per_build</t>
        </is>
      </c>
      <c r="R56" s="18">
        <f>INDEX('02_Freq_Weight'!$E$3:$E$9,MATCH(Q56,'02_Freq_Weight'!$A$3:$A$9,0))</f>
        <v/>
      </c>
      <c r="S56" s="17" t="n">
        <v>0.02</v>
      </c>
      <c r="T56" s="17" t="n">
        <v>730</v>
      </c>
      <c r="U56" s="19" t="n">
        <v>0.05</v>
      </c>
      <c r="V56" s="19" t="n">
        <v>0.1</v>
      </c>
      <c r="W56" s="16" t="inlineStr">
        <is>
          <t>license, sbom</t>
        </is>
      </c>
      <c r="X56" s="16" t="inlineStr">
        <is>
          <t>มาตรฐานขั้นต่ำ 2566</t>
        </is>
      </c>
      <c r="Y56" s="16" t="inlineStr">
        <is>
          <t>CSA CCM v4 / STAR; CycloneDX / ECMA-424; ISO/IEC 27001:2022; NIST SP 800-161r1; NIST SSDF (SP 800-218); OWASP Top 10:2025; SLSA v1.0; SPDX / ISO 5962</t>
        </is>
      </c>
      <c r="Z56" s="16" t="inlineStr">
        <is>
          <t>C-SC-LICENSE, C-SC-SBOM</t>
        </is>
      </c>
      <c r="AA56" s="16" t="inlineStr">
        <is>
          <t>-</t>
        </is>
      </c>
      <c r="AB56" s="17" t="n">
        <v>2</v>
      </c>
      <c r="AC56" s="16" t="inlineStr">
        <is>
          <t>BlackDuck License Compliance; FOSSA Enterprise; Mend (WhiteSource); Snyk License</t>
        </is>
      </c>
      <c r="AD56" s="16" t="inlineStr">
        <is>
          <t>License Finder; Licensee; REUSE; Trivy license scan</t>
        </is>
      </c>
      <c r="AE56" s="16" t="inlineStr">
        <is>
          <t>ScanCode เป็น Python CLI สแกนไฟล์หา license expression; RAM 1-2 GB ต่อ repo ขนาดกลาง ทำงานแบบ ephemeral</t>
        </is>
      </c>
      <c r="AF56" s="16" t="inlineStr">
        <is>
          <t>ทางเลือกแทน FOSSology เมื่อโครงการห้ามใช้ GPL/AGPL — ScanCode เองเป็น Apache-2.0 จึงใช้ได้ และเบากว่ามากเพราะไม่ต้องมี web app กับฐานข้อมูลแยก</t>
        </is>
      </c>
    </row>
    <row r="57" ht="58" customHeight="1">
      <c r="A57" s="25" t="inlineStr">
        <is>
          <t>cbomkit</t>
        </is>
      </c>
      <c r="B57" s="26" t="inlineStr">
        <is>
          <t>CBOMkit / Crypto Inventory Scanner (Crypto Bill of Materials)</t>
        </is>
      </c>
      <c r="C57" s="27" t="n">
        <v>4</v>
      </c>
      <c r="D57" s="26" t="inlineStr">
        <is>
          <t>Crypto Inventory</t>
        </is>
      </c>
      <c r="E57" s="27" t="inlineStr">
        <is>
          <t>Optional</t>
        </is>
      </c>
      <c r="F57" s="27" t="inlineStr">
        <is>
          <t>oss</t>
        </is>
      </c>
      <c r="G57" s="27" t="inlineStr">
        <is>
          <t>Apache-2.0</t>
        </is>
      </c>
      <c r="H57" s="27" t="n">
        <v>2</v>
      </c>
      <c r="I57" s="27" t="n">
        <v>4</v>
      </c>
      <c r="J57" s="27" t="n">
        <v>10</v>
      </c>
      <c r="K57" s="27" t="n">
        <v>2</v>
      </c>
      <c r="L57" s="27" t="n">
        <v>4</v>
      </c>
      <c r="M57" s="27" t="n">
        <v>20</v>
      </c>
      <c r="N57" s="27" t="n">
        <v>0</v>
      </c>
      <c r="O57" s="27" t="n">
        <v>0</v>
      </c>
      <c r="P57" s="27" t="inlineStr">
        <is>
          <t>async</t>
        </is>
      </c>
      <c r="Q57" s="27" t="inlineStr">
        <is>
          <t>weekly</t>
        </is>
      </c>
      <c r="R57" s="28">
        <f>INDEX('02_Freq_Weight'!$E$3:$E$9,MATCH(Q57,'02_Freq_Weight'!$A$3:$A$9,0))</f>
        <v/>
      </c>
      <c r="S57" s="27" t="n">
        <v>0.02</v>
      </c>
      <c r="T57" s="27" t="n">
        <v>730</v>
      </c>
      <c r="U57" s="29" t="n">
        <v>0.05</v>
      </c>
      <c r="V57" s="29" t="n">
        <v>0.1</v>
      </c>
      <c r="W57" s="26" t="inlineStr">
        <is>
          <t>crypto_agility, sbom</t>
        </is>
      </c>
      <c r="X57" s="26" t="inlineStr">
        <is>
          <t>มาตรฐานขั้นต่ำ 2566</t>
        </is>
      </c>
      <c r="Y57" s="26" t="inlineStr">
        <is>
          <t>CSA CCM v4 / STAR; CycloneDX / ECMA-424; NIST SP 800-161r1; NIST PQC Migration; NIST SSDF (SP 800-218); OWASP Top 10:2025; SLSA v1.0; SPDX / ISO 5962</t>
        </is>
      </c>
      <c r="Z57" s="26" t="inlineStr">
        <is>
          <t>C-SC-SBOM</t>
        </is>
      </c>
      <c r="AA57" s="26" t="inlineStr">
        <is>
          <t>C-CRY-PQC</t>
        </is>
      </c>
      <c r="AB57" s="27" t="n">
        <v>2</v>
      </c>
      <c r="AC57" s="26" t="inlineStr">
        <is>
          <t>Venafi TLS Protect; Entrust Crypto Discovery; Keyfactor Command</t>
        </is>
      </c>
      <c r="AD57" s="26" t="inlineStr">
        <is>
          <t>Trivy CBOM; cryptography-inventory; sonar-cryptography</t>
        </is>
      </c>
      <c r="AE57" s="26" t="inlineStr">
        <is>
          <t>สแกนซอร์สโค้ดและ artifact หาอัลกอริทึมเข้ารหัสที่ใช้อยู่ แล้วออกเป็น CBOM รูปแบบ CycloneDX; RAM 1-2 GB ต่อรอบ ทำงานแบบ ephemeral</t>
        </is>
      </c>
      <c r="AF57" s="26" t="inlineStr">
        <is>
          <t>ตอบข้อ Post-Quantum / Crypto-Agility โดยตรง และเป็น Apache-2.0 จึงใช้ได้ในโครงการที่ห้าม GPL (ต่างจาก testssl.sh ที่เป็น GPL-2.0) — ควรรันคู่กับการตรวจ TLS ที่ปลายทาง</t>
        </is>
      </c>
    </row>
    <row r="58" ht="58" customHeight="1">
      <c r="A58" s="30" t="inlineStr">
        <is>
          <t>opensearch</t>
        </is>
      </c>
      <c r="B58" s="31" t="inlineStr">
        <is>
          <t>OpenSearch + OpenSearch Dashboards (Log &amp; SIEM แบบ Apache-2.0)</t>
        </is>
      </c>
      <c r="C58" s="32" t="n">
        <v>5</v>
      </c>
      <c r="D58" s="31" t="inlineStr">
        <is>
          <t>Log &amp; Audit Store</t>
        </is>
      </c>
      <c r="E58" s="32" t="inlineStr">
        <is>
          <t>Core</t>
        </is>
      </c>
      <c r="F58" s="32" t="inlineStr">
        <is>
          <t>oss</t>
        </is>
      </c>
      <c r="G58" s="32" t="inlineStr">
        <is>
          <t>Apache-2.0</t>
        </is>
      </c>
      <c r="H58" s="32" t="n">
        <v>4</v>
      </c>
      <c r="I58" s="32" t="n">
        <v>8</v>
      </c>
      <c r="J58" s="32" t="n">
        <v>50</v>
      </c>
      <c r="K58" s="32" t="n">
        <v>8</v>
      </c>
      <c r="L58" s="32" t="n">
        <v>16</v>
      </c>
      <c r="M58" s="32" t="n">
        <v>500</v>
      </c>
      <c r="N58" s="32" t="n">
        <v>1</v>
      </c>
      <c r="O58" s="32" t="n">
        <v>6</v>
      </c>
      <c r="P58" s="32" t="inlineStr">
        <is>
          <t>resident</t>
        </is>
      </c>
      <c r="Q58" s="32" t="inlineStr">
        <is>
          <t>resident</t>
        </is>
      </c>
      <c r="R58" s="33">
        <f>INDEX('02_Freq_Weight'!$E$3:$E$9,MATCH(Q58,'02_Freq_Weight'!$A$3:$A$9,0))</f>
        <v/>
      </c>
      <c r="S58" s="32" t="n">
        <v>1.5</v>
      </c>
      <c r="T58" s="32" t="n">
        <v>90</v>
      </c>
      <c r="U58" s="34" t="n">
        <v>0.45</v>
      </c>
      <c r="V58" s="34" t="n">
        <v>0.3</v>
      </c>
      <c r="W58" s="31" t="inlineStr">
        <is>
          <t>log_mgmt, audit_trail, siem_alert</t>
        </is>
      </c>
      <c r="X58" s="31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58" s="31" t="inlineStr">
        <is>
          <t>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      </is>
      </c>
      <c r="Z58" s="31" t="inlineStr">
        <is>
          <t>C-LOG-90, C-LOG-AUDIT, C-LOG-CENTRAL</t>
        </is>
      </c>
      <c r="AA58" s="31" t="inlineStr">
        <is>
          <t>C-LOG-NOTIFY, C-LOG-SIEM, C-OPS-BCP, C-PRV-BREACH, C-PRV-MEASURE, C-PRV-MINIMIZE, C-SDLC-TRACE, C-WEB-SELF</t>
        </is>
      </c>
      <c r="AB58" s="32" t="n">
        <v>11</v>
      </c>
      <c r="AC58" s="31" t="inlineStr">
        <is>
          <t>Splunk Enterprise; Datadog; Microsoft Sentinel; Sumo Logic</t>
        </is>
      </c>
      <c r="AD58" s="31" t="inlineStr">
        <is>
          <t>VictoriaLogs; Graylog Open; Loki (AGPL); Quickwit</t>
        </is>
      </c>
      <c r="AE58" s="31" t="inlineStr">
        <is>
          <t>OpenSearch เป็น fork ของ Elasticsearch 7.10 ภายใต้ Apache-2.0; heap ไม่ควรเกิน 50% ของ RAM และไม่เกิน 31 GB ตัวเลขนี้รวม Dashboards (Node.js ~1 GB) ไว้ในเครื่องเดียวกันแล้ว</t>
        </is>
      </c>
      <c r="AF58" s="31" t="inlineStr">
        <is>
          <t>ทางเลือกแทน Elasticsearch/Kibana เมื่อโครงการห้ามใช้ License แบบ source-available (SSPL / Elastic License) ซึ่งเป็นเงื่อนไขที่พบในโครงการภาครัฐบางแห่ง — มี Security Analytics plugin ทำหน้าที่ SIEM ได้ในตัว</t>
        </is>
      </c>
    </row>
    <row r="59" ht="58" customHeight="1">
      <c r="A59" s="30" t="inlineStr">
        <is>
          <t>openbao</t>
        </is>
      </c>
      <c r="B59" s="31" t="inlineStr">
        <is>
          <t>OpenBao (Secret Management แบบ MPL-2.0)</t>
        </is>
      </c>
      <c r="C59" s="32" t="n">
        <v>5</v>
      </c>
      <c r="D59" s="31" t="inlineStr">
        <is>
          <t>Secret Management</t>
        </is>
      </c>
      <c r="E59" s="32" t="inlineStr">
        <is>
          <t>Optional</t>
        </is>
      </c>
      <c r="F59" s="32" t="inlineStr">
        <is>
          <t>oss</t>
        </is>
      </c>
      <c r="G59" s="32" t="inlineStr">
        <is>
          <t>MPL-2.0</t>
        </is>
      </c>
      <c r="H59" s="32" t="n">
        <v>2</v>
      </c>
      <c r="I59" s="32" t="n">
        <v>4</v>
      </c>
      <c r="J59" s="32" t="n">
        <v>20</v>
      </c>
      <c r="K59" s="32" t="n">
        <v>2</v>
      </c>
      <c r="L59" s="32" t="n">
        <v>4</v>
      </c>
      <c r="M59" s="32" t="n">
        <v>60</v>
      </c>
      <c r="N59" s="32" t="n">
        <v>1</v>
      </c>
      <c r="O59" s="32" t="n">
        <v>1</v>
      </c>
      <c r="P59" s="32" t="inlineStr">
        <is>
          <t>resident</t>
        </is>
      </c>
      <c r="Q59" s="32" t="inlineStr">
        <is>
          <t>resident</t>
        </is>
      </c>
      <c r="R59" s="33">
        <f>INDEX('02_Freq_Weight'!$E$3:$E$9,MATCH(Q59,'02_Freq_Weight'!$A$3:$A$9,0))</f>
        <v/>
      </c>
      <c r="S59" s="32" t="n">
        <v>0.05</v>
      </c>
      <c r="T59" s="32" t="n">
        <v>2555</v>
      </c>
      <c r="U59" s="34" t="n">
        <v>0.1</v>
      </c>
      <c r="V59" s="34" t="n">
        <v>0.15</v>
      </c>
      <c r="W59" s="31" t="inlineStr">
        <is>
          <t>secret_mgmt, iam_mfa, audit_trail</t>
        </is>
      </c>
      <c r="X59" s="31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มาตรการความปลอดภัย 2565; พ.ร.ฎ. วิธีการแบบปลอดภัย 2553</t>
        </is>
      </c>
      <c r="Y59" s="31" t="inlineStr">
        <is>
          <t>CIS Benchmarks; CIS Controls v8.1; CSA CCM v4 / STAR; ISO 22301:2019; ISO/IEC 27001:2022; ISO/IEC 27002:2022; ISO/IEC 27017; ISO/IEC 27018; ISO/IEC 27701; ISO/IEC 29100; ISO/IEC 42001:2023; NIST SP 800-207; NIST SP 800-53r5; NIST SP 800-63B; NIST CSF 2.0; NIST SSDF (SP 800-218); OWASP API Top 10:2023; OWASP ASVS 5.0; OWASP MASVS; OWASP Top 10:2025; SLSA v1.0; SOC 2 (TSC)</t>
        </is>
      </c>
      <c r="Z59" s="31" t="inlineStr">
        <is>
          <t>C-CRY-KEY, C-IAM-MFA, C-LOG-AUDIT</t>
        </is>
      </c>
      <c r="AA59" s="31" t="inlineStr">
        <is>
          <t>C-APP-AUTHN, C-IAM-LEAST, C-IAM-REMOTE, C-LOG-90, C-OPS-BCP, C-PRV-MEASURE, C-SDLC-SECRET, C-SDLC-TRACE, C-WEB-SELF</t>
        </is>
      </c>
      <c r="AB59" s="32" t="n">
        <v>12</v>
      </c>
      <c r="AC59" s="31" t="inlineStr">
        <is>
          <t>HashiCorp Vault Enterprise; Azure Key Vault; AWS Secrets Manager; CyberArk Conjur</t>
        </is>
      </c>
      <c r="AD59" s="31" t="inlineStr">
        <is>
          <t>Infisical; SOPS + age; Sealed Secrets</t>
        </is>
      </c>
      <c r="AE59" s="31" t="inlineStr">
        <is>
          <t>OpenBao เป็น fork ของ Vault 1.14 ภายใต้ MPL-2.0 ใช้ resource เท่ากัน; ต้องมี storage backend (Raft) และเปิด Audit Device</t>
        </is>
      </c>
      <c r="AF59" s="31" t="inlineStr">
        <is>
          <t>ทางเลือกแทน HashiCorp Vault เมื่อโครงการห้ามใช้ License แบบ source-available (BUSL) — MPL-2.0 เป็น copyleft อ่อน ใช้เป็นบริการแยกได้โดยไม่ลามไปยังโค้ดของโครงการ</t>
        </is>
      </c>
    </row>
    <row r="60" ht="58" customHeight="1">
      <c r="A60" s="10" t="inlineStr">
        <is>
          <t>azure-devops</t>
        </is>
      </c>
      <c r="B60" s="11" t="inlineStr">
        <is>
          <t>Azure DevOps (Cloud CI/CD Platform)</t>
        </is>
      </c>
      <c r="C60" s="12" t="n">
        <v>1</v>
      </c>
      <c r="D60" s="11" t="inlineStr">
        <is>
          <t>Cloud CI/CD Platform</t>
        </is>
      </c>
      <c r="E60" s="12" t="inlineStr">
        <is>
          <t>Core</t>
        </is>
      </c>
      <c r="F60" s="12" t="inlineStr">
        <is>
          <t>commercial</t>
        </is>
      </c>
      <c r="G60" s="12" t="inlineStr">
        <is>
          <t>Proprietary (SaaS)</t>
        </is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inlineStr">
        <is>
          <t>ci_seq</t>
        </is>
      </c>
      <c r="Q60" s="12" t="inlineStr">
        <is>
          <t>per_commit</t>
        </is>
      </c>
      <c r="R60" s="13">
        <f>INDEX('02_Freq_Weight'!$E$3:$E$9,MATCH(Q60,'02_Freq_Weight'!$A$3:$A$9,0))</f>
        <v/>
      </c>
      <c r="S60" s="12" t="n">
        <v>0.02</v>
      </c>
      <c r="T60" s="12" t="n">
        <v>365</v>
      </c>
      <c r="U60" s="14" t="n">
        <v>0.1</v>
      </c>
      <c r="V60" s="14" t="n">
        <v>0.2</v>
      </c>
      <c r="W60" s="11" t="inlineStr">
        <is>
          <t>git_scm, webhook, branch_protection, pipeline, audit_trail, quality_gate, deploy_strategy</t>
        </is>
      </c>
      <c r="X60" s="1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60" s="11" t="inlineStr">
        <is>
          <t>CIS Controls v8.1; ISO 22301:2019; ISO/IEC 27001:2022; ISO/IEC 27018; ISO/IEC 27034; ISO/IEC 27701; ISO/IEC 42001:2023; NIST SP 800-53r5; NIST CSF 2.0; NIST SSDF (SP 800-218); OWASP SAMM 2; OWASP Top 10:2025; SLSA v1.0; SOC 2 (TSC)</t>
        </is>
      </c>
      <c r="Z60" s="11" t="inlineStr">
        <is>
          <t>C-LOG-AUDIT, C-SDLC-REVIEW</t>
        </is>
      </c>
      <c r="AA60" s="11" t="inlineStr">
        <is>
          <t>C-AI-GOV, C-LOG-90, C-OPS-BCP, C-OPS-DEPLOY, C-SDLC-THREAT, C-SDLC-TRACE, C-WEB-SELF</t>
        </is>
      </c>
      <c r="AB60" s="12" t="n">
        <v>9</v>
      </c>
      <c r="AC60" s="11" t="inlineStr">
        <is>
          <t>GitHub Enterprise Cloud; GitLab SaaS Ultimate</t>
        </is>
      </c>
      <c r="AD60" s="11" t="inlineStr">
        <is>
          <t>GitLab CE; Gitea + Jenkins</t>
        </is>
      </c>
      <c r="AE60" s="11" t="inlineStr">
        <is>
          <t>Managed service — no self-hosted resource needed; pricing per user/pipeline minute</t>
        </is>
      </c>
      <c r="AF60" s="11" t="inlineStr">
        <is>
          <t>CI/CD แบบ managed ของ Microsoft รวม Git, Boards, Pipelines, Artifacts, Test Plans ในที่เดียว รองรับ hybrid agent สำหรับ on-premise build</t>
        </is>
      </c>
    </row>
    <row r="61" ht="58" customHeight="1">
      <c r="A61" s="10" t="inlineStr">
        <is>
          <t>github-actions</t>
        </is>
      </c>
      <c r="B61" s="11" t="inlineStr">
        <is>
          <t>GitHub Actions (Cloud CI/CD)</t>
        </is>
      </c>
      <c r="C61" s="12" t="n">
        <v>1</v>
      </c>
      <c r="D61" s="11" t="inlineStr">
        <is>
          <t>Cloud CI/CD Platform</t>
        </is>
      </c>
      <c r="E61" s="12" t="inlineStr">
        <is>
          <t>Core</t>
        </is>
      </c>
      <c r="F61" s="12" t="inlineStr">
        <is>
          <t>commercial</t>
        </is>
      </c>
      <c r="G61" s="12" t="inlineStr">
        <is>
          <t>Proprietary (SaaS / Free tier)</t>
        </is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inlineStr">
        <is>
          <t>ci_seq</t>
        </is>
      </c>
      <c r="Q61" s="12" t="inlineStr">
        <is>
          <t>per_commit</t>
        </is>
      </c>
      <c r="R61" s="13">
        <f>INDEX('02_Freq_Weight'!$E$3:$E$9,MATCH(Q61,'02_Freq_Weight'!$A$3:$A$9,0))</f>
        <v/>
      </c>
      <c r="S61" s="12" t="n">
        <v>0.02</v>
      </c>
      <c r="T61" s="12" t="n">
        <v>90</v>
      </c>
      <c r="U61" s="14" t="n">
        <v>0.1</v>
      </c>
      <c r="V61" s="14" t="n">
        <v>0.2</v>
      </c>
      <c r="W61" s="11" t="inlineStr">
        <is>
          <t>pipeline, webhook, build, deploy_strategy, audit_trail</t>
        </is>
      </c>
      <c r="X61" s="1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61" s="11" t="inlineStr">
        <is>
          <t>CIS Benchmarks; CIS Controls v8.1; ISO 22301:2019; ISO/IEC 27001:2022; ISO/IEC 27018; ISO/IEC 27701; ISO/IEC 42001:2023; NIST SP 800-53r5; NIST CSF 2.0; NIST SSDF (SP 800-218); OWASP Top 10:2025; SLSA v1.0; SOC 2 (TSC)</t>
        </is>
      </c>
      <c r="Z61" s="11" t="inlineStr">
        <is>
          <t>C-LOG-AUDIT</t>
        </is>
      </c>
      <c r="AA61" s="11" t="inlineStr">
        <is>
          <t>C-LOG-90, C-OPS-BCP, C-OPS-DEPLOY, C-SC-IMG, C-SC-PIN, C-SDLC-TRACE, C-WEB-SELF</t>
        </is>
      </c>
      <c r="AB61" s="12" t="n">
        <v>8</v>
      </c>
      <c r="AC61" s="11" t="inlineStr">
        <is>
          <t>Azure DevOps; AWS CodePipeline; GitLab SaaS</t>
        </is>
      </c>
      <c r="AD61" s="11" t="inlineStr">
        <is>
          <t>Woodpecker CI; Forgejo Actions; Jenkins</t>
        </is>
      </c>
      <c r="AE61" s="11" t="inlineStr">
        <is>
          <t>Managed — 2,000 free minutes/month (public repos unlimited); supports self-hosted runners for on-prem builds</t>
        </is>
      </c>
      <c r="AF61" s="11" t="inlineStr">
        <is>
          <t>CI/CD ของ GitHub; ecosystem ใหญ่ที่สุด (Marketplace 20K+ actions), รองรับ matrix builds, reusable workflows, OIDC federation</t>
        </is>
      </c>
    </row>
    <row r="62" ht="58" customHeight="1">
      <c r="A62" s="10" t="inlineStr">
        <is>
          <t>aws-codecommit-pipeline</t>
        </is>
      </c>
      <c r="B62" s="11" t="inlineStr">
        <is>
          <t>AWS CodePipeline + CodeBuild + CodeCommit</t>
        </is>
      </c>
      <c r="C62" s="12" t="n">
        <v>1</v>
      </c>
      <c r="D62" s="11" t="inlineStr">
        <is>
          <t>Cloud CI/CD Platform</t>
        </is>
      </c>
      <c r="E62" s="12" t="inlineStr">
        <is>
          <t>Core</t>
        </is>
      </c>
      <c r="F62" s="12" t="inlineStr">
        <is>
          <t>commercial</t>
        </is>
      </c>
      <c r="G62" s="12" t="inlineStr">
        <is>
          <t>Proprietary (SaaS)</t>
        </is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inlineStr">
        <is>
          <t>ci_seq</t>
        </is>
      </c>
      <c r="Q62" s="12" t="inlineStr">
        <is>
          <t>per_commit</t>
        </is>
      </c>
      <c r="R62" s="13">
        <f>INDEX('02_Freq_Weight'!$E$3:$E$9,MATCH(Q62,'02_Freq_Weight'!$A$3:$A$9,0))</f>
        <v/>
      </c>
      <c r="S62" s="12" t="n">
        <v>0.02</v>
      </c>
      <c r="T62" s="12" t="n">
        <v>365</v>
      </c>
      <c r="U62" s="14" t="n">
        <v>0.1</v>
      </c>
      <c r="V62" s="14" t="n">
        <v>0.2</v>
      </c>
      <c r="W62" s="11" t="inlineStr">
        <is>
          <t>git_scm, webhook, pipeline, build, deploy_strategy, audit_trail</t>
        </is>
      </c>
      <c r="X62" s="11" t="inlineStr">
        <is>
          <t>พ.ร.บ. คอมพิวเตอร์ 2550/2560; พ.ร.บ. ไซเบอร์ 2562;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ITA (ป.ป.ช.); มาตรฐานขั้นต่ำ 2566; กรอบมาตรฐานไซเบอร์ 2564; มาตรฐานเว็บไซต์ 2568; PDPA 2562</t>
        </is>
      </c>
      <c r="Y62" s="11" t="inlineStr">
        <is>
          <t>CIS Benchmarks; CIS Controls v8.1; ISO 22301:2019; ISO/IEC 27001:2022; ISO/IEC 27018; ISO/IEC 27701; ISO/IEC 42001:2023; NIST SP 800-53r5; NIST CSF 2.0; NIST SSDF (SP 800-218); OWASP SAMM 2; OWASP Top 10:2025; SLSA v1.0; SOC 2 (TSC)</t>
        </is>
      </c>
      <c r="Z62" s="11" t="inlineStr">
        <is>
          <t>C-LOG-AUDIT</t>
        </is>
      </c>
      <c r="AA62" s="11" t="inlineStr">
        <is>
          <t>C-LOG-90, C-OPS-BCP, C-OPS-DEPLOY, C-SC-IMG, C-SC-PIN, C-SDLC-REVIEW, C-SDLC-TRACE, C-WEB-SELF</t>
        </is>
      </c>
      <c r="AB62" s="12" t="n">
        <v>9</v>
      </c>
      <c r="AC62" s="11" t="inlineStr">
        <is>
          <t>Azure DevOps; GitLab SaaS Ultimate; GitHub Enterprise Cloud</t>
        </is>
      </c>
      <c r="AD62" s="11" t="inlineStr">
        <is>
          <t>GitLab CE + Jenkins; Gitea + Woodpecker</t>
        </is>
      </c>
      <c r="AE62" s="11" t="inlineStr">
        <is>
          <t>Managed — pay per pipeline execution minute and build compute; integrates with all AWS services</t>
        </is>
      </c>
      <c r="AF62" s="11" t="inlineStr">
        <is>
          <t>CI/CD suite ของ AWS รวม source repo, build, deploy pipeline; รองรับ cross-account deployment, CloudFormation/CDK integration</t>
        </is>
      </c>
    </row>
    <row r="63" ht="58" customHeight="1">
      <c r="A63" s="10" t="inlineStr">
        <is>
          <t>gcp-cloud-build</t>
        </is>
      </c>
      <c r="B63" s="11" t="inlineStr">
        <is>
          <t>Google Cloud Build + Source Repositories</t>
        </is>
      </c>
      <c r="C63" s="12" t="n">
        <v>1</v>
      </c>
      <c r="D63" s="11" t="inlineStr">
        <is>
          <t>Cloud CI/CD Platform</t>
        </is>
      </c>
      <c r="E63" s="12" t="inlineStr">
        <is>
          <t>Core</t>
        </is>
      </c>
      <c r="F63" s="12" t="inlineStr">
        <is>
          <t>commercial</t>
        </is>
      </c>
      <c r="G63" s="12" t="inlineStr">
        <is>
          <t>Proprietary (SaaS)</t>
        </is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inlineStr">
        <is>
          <t>ci_seq</t>
        </is>
      </c>
      <c r="Q63" s="12" t="inlineStr">
        <is>
          <t>per_commit</t>
        </is>
      </c>
      <c r="R63" s="13">
        <f>INDEX('02_Freq_Weight'!$E$3:$E$9,MATCH(Q63,'02_Freq_Weight'!$A$3:$A$9,0))</f>
        <v/>
      </c>
      <c r="S63" s="12" t="n">
        <v>0.02</v>
      </c>
      <c r="T63" s="12" t="n">
        <v>365</v>
      </c>
      <c r="U63" s="14" t="n">
        <v>0.1</v>
      </c>
      <c r="V63" s="14" t="n">
        <v>0.2</v>
      </c>
      <c r="W63" s="11" t="inlineStr">
        <is>
          <t>pipeline, build, webhook, image_build, deploy_strategy</t>
        </is>
      </c>
      <c r="X63" s="11" t="inlineStr">
        <is>
          <t>พ.ร.บ. ไซเบอร์ 2562; มาตรฐานข้อมูลเปิดภาครัฐ; พ.ร.บ. ปฏิบัติราชการทางอิเล็กทรอนิกส์ 2565</t>
        </is>
      </c>
      <c r="Y63" s="11" t="inlineStr">
        <is>
          <t>CIS Benchmarks; CIS Controls v8.1; NIST SSDF (SP 800-218); OWASP Top 10:2025; SLSA v1.0; SOC 2 (TSC)</t>
        </is>
      </c>
      <c r="Z63" s="11" t="inlineStr">
        <is>
          <t>C-SC-IMG</t>
        </is>
      </c>
      <c r="AA63" s="11" t="inlineStr">
        <is>
          <t>C-OPS-DEPLOY, C-SC-PIN, C-SDLC-TRACE</t>
        </is>
      </c>
      <c r="AB63" s="12" t="n">
        <v>4</v>
      </c>
      <c r="AC63" s="11" t="inlineStr">
        <is>
          <t>Azure DevOps; AWS CodePipeline; GitLab SaaS</t>
        </is>
      </c>
      <c r="AD63" s="11" t="inlineStr">
        <is>
          <t>Jenkins + Gitea; Tekton + Gitea</t>
        </is>
      </c>
      <c r="AE63" s="11" t="inlineStr">
        <is>
          <t>Managed — 120 free build-minutes/day; supports custom workers, multi-step builds, and Cloud Deploy for CD</t>
        </is>
      </c>
      <c r="AF63" s="11" t="inlineStr">
        <is>
          <t>CI/CD ของ GCP รองรับ Buildpacks, kaniko builds, Binary Authorization integration, Cloud Deploy สำหรับ progressive delivery</t>
        </is>
      </c>
    </row>
    <row r="64" ht="58" customHeight="1">
      <c r="A64" s="25" t="inlineStr">
        <is>
          <t>azure-container-registry</t>
        </is>
      </c>
      <c r="B64" s="26" t="inlineStr">
        <is>
          <t>Azure Container Registry (ACR)</t>
        </is>
      </c>
      <c r="C64" s="27" t="n">
        <v>4</v>
      </c>
      <c r="D64" s="26" t="inlineStr">
        <is>
          <t>Cloud Container Registry</t>
        </is>
      </c>
      <c r="E64" s="27" t="inlineStr">
        <is>
          <t>Core</t>
        </is>
      </c>
      <c r="F64" s="27" t="inlineStr">
        <is>
          <t>commercial</t>
        </is>
      </c>
      <c r="G64" s="27" t="inlineStr">
        <is>
          <t>Proprietary (SaaS)</t>
        </is>
      </c>
      <c r="H64" s="27" t="n">
        <v>0</v>
      </c>
      <c r="I64" s="27" t="n">
        <v>0</v>
      </c>
      <c r="J64" s="27" t="n">
        <v>0</v>
      </c>
      <c r="K64" s="27" t="n">
        <v>0</v>
      </c>
      <c r="L64" s="27" t="n">
        <v>0</v>
      </c>
      <c r="M64" s="27" t="n">
        <v>0</v>
      </c>
      <c r="N64" s="27" t="n">
        <v>0</v>
      </c>
      <c r="O64" s="27" t="n">
        <v>0</v>
      </c>
      <c r="P64" s="27" t="inlineStr">
        <is>
          <t>ci_seq</t>
        </is>
      </c>
      <c r="Q64" s="27" t="inlineStr">
        <is>
          <t>per_build</t>
        </is>
      </c>
      <c r="R64" s="28">
        <f>INDEX('02_Freq_Weight'!$E$3:$E$9,MATCH(Q64,'02_Freq_Weight'!$A$3:$A$9,0))</f>
        <v/>
      </c>
      <c r="S64" s="27" t="n">
        <v>0.5</v>
      </c>
      <c r="T64" s="27" t="n">
        <v>365</v>
      </c>
      <c r="U64" s="29" t="n">
        <v>0.1</v>
      </c>
      <c r="V64" s="29" t="n">
        <v>0.3</v>
      </c>
      <c r="W64" s="26" t="inlineStr">
        <is>
          <t>registry, container_scan, artifact_sign</t>
        </is>
      </c>
      <c r="X64" s="26" t="inlineStr">
        <is>
          <t>ขมธอ. ลายมือชื่อ/เอกสารอิเล็กทรอนิกส์</t>
        </is>
      </c>
      <c r="Y64" s="26" t="inlineStr">
        <is>
          <t>CIS Benchmarks; ISO/IEC 42001:2023; NIST SP 800-161r1; NIST SSDF (SP 800-218); OWASP Top 10:2025; PCI DSS v4.0; SLSA v1.0</t>
        </is>
      </c>
      <c r="Z64" s="26" t="inlineStr">
        <is>
          <t>C-SC-CONTAINER, C-SC-REGISTRY, C-SC-SIGN</t>
        </is>
      </c>
      <c r="AA64" s="26" t="inlineStr">
        <is>
          <t>C-AI-GOV</t>
        </is>
      </c>
      <c r="AB64" s="27" t="n">
        <v>4</v>
      </c>
      <c r="AC64" s="26" t="inlineStr">
        <is>
          <t>AWS ECR; Google Artifact Registry; JFrog Artifactory Cloud</t>
        </is>
      </c>
      <c r="AD64" s="26" t="inlineStr">
        <is>
          <t>Harbor; GitLab Container Registry</t>
        </is>
      </c>
      <c r="AE64" s="26" t="inlineStr">
        <is>
          <t>Managed registry — pricing per storage GB + network egress; Premium SKU supports geo-replication and private link</t>
        </is>
      </c>
      <c r="AF64" s="26" t="inlineStr">
        <is>
          <t>Container registry ของ Azure รองรับ Helm charts, OCI artifacts, content trust (Notary), integrated vulnerability scanning</t>
        </is>
      </c>
    </row>
    <row r="65" ht="58" customHeight="1">
      <c r="A65" s="25" t="inlineStr">
        <is>
          <t>aws-ecr</t>
        </is>
      </c>
      <c r="B65" s="26" t="inlineStr">
        <is>
          <t>Amazon Elastic Container Registry (ECR)</t>
        </is>
      </c>
      <c r="C65" s="27" t="n">
        <v>4</v>
      </c>
      <c r="D65" s="26" t="inlineStr">
        <is>
          <t>Cloud Container Registry</t>
        </is>
      </c>
      <c r="E65" s="27" t="inlineStr">
        <is>
          <t>Core</t>
        </is>
      </c>
      <c r="F65" s="27" t="inlineStr">
        <is>
          <t>commercial</t>
        </is>
      </c>
      <c r="G65" s="27" t="inlineStr">
        <is>
          <t>Proprietary (SaaS)</t>
        </is>
      </c>
      <c r="H65" s="27" t="n">
        <v>0</v>
      </c>
      <c r="I65" s="27" t="n">
        <v>0</v>
      </c>
      <c r="J65" s="27" t="n">
        <v>0</v>
      </c>
      <c r="K65" s="27" t="n">
        <v>0</v>
      </c>
      <c r="L65" s="27" t="n">
        <v>0</v>
      </c>
      <c r="M65" s="27" t="n">
        <v>0</v>
      </c>
      <c r="N65" s="27" t="n">
        <v>0</v>
      </c>
      <c r="O65" s="27" t="n">
        <v>0</v>
      </c>
      <c r="P65" s="27" t="inlineStr">
        <is>
          <t>ci_seq</t>
        </is>
      </c>
      <c r="Q65" s="27" t="inlineStr">
        <is>
          <t>per_build</t>
        </is>
      </c>
      <c r="R65" s="28">
        <f>INDEX('02_Freq_Weight'!$E$3:$E$9,MATCH(Q65,'02_Freq_Weight'!$A$3:$A$9,0))</f>
        <v/>
      </c>
      <c r="S65" s="27" t="n">
        <v>0.5</v>
      </c>
      <c r="T65" s="27" t="n">
        <v>365</v>
      </c>
      <c r="U65" s="29" t="n">
        <v>0.1</v>
      </c>
      <c r="V65" s="29" t="n">
        <v>0.3</v>
      </c>
      <c r="W65" s="26" t="inlineStr">
        <is>
          <t>registry, container_scan</t>
        </is>
      </c>
      <c r="X65" s="26" t="inlineStr">
        <is>
          <t>-</t>
        </is>
      </c>
      <c r="Y65" s="26" t="inlineStr">
        <is>
          <t>CIS Benchmarks; ISO/IEC 42001:2023; NIST SP 800-161r1; OWASP Top 10:2025; PCI DSS v4.0</t>
        </is>
      </c>
      <c r="Z65" s="26" t="inlineStr">
        <is>
          <t>C-SC-CONTAINER, C-SC-REGISTRY</t>
        </is>
      </c>
      <c r="AA65" s="26" t="inlineStr">
        <is>
          <t>C-AI-GOV</t>
        </is>
      </c>
      <c r="AB65" s="27" t="n">
        <v>3</v>
      </c>
      <c r="AC65" s="26" t="inlineStr">
        <is>
          <t>Azure Container Registry; Google Artifact Registry; JFrog Artifactory Cloud</t>
        </is>
      </c>
      <c r="AD65" s="26" t="inlineStr">
        <is>
          <t>Harbor; Zot</t>
        </is>
      </c>
      <c r="AE65" s="26" t="inlineStr">
        <is>
          <t>Managed registry — pricing per storage GB; supports image scanning, lifecycle policies, cross-region replication</t>
        </is>
      </c>
      <c r="AF65" s="26" t="inlineStr">
        <is>
          <t>Container registry ของ AWS รองรับ ECR Enhanced Scanning (Inspector), lifecycle policies, cross-account access</t>
        </is>
      </c>
    </row>
    <row r="66" ht="58" customHeight="1">
      <c r="A66" s="25" t="inlineStr">
        <is>
          <t>gcp-artifact-registry</t>
        </is>
      </c>
      <c r="B66" s="26" t="inlineStr">
        <is>
          <t>Google Artifact Registry (GAR)</t>
        </is>
      </c>
      <c r="C66" s="27" t="n">
        <v>4</v>
      </c>
      <c r="D66" s="26" t="inlineStr">
        <is>
          <t>Cloud Container Registry</t>
        </is>
      </c>
      <c r="E66" s="27" t="inlineStr">
        <is>
          <t>Core</t>
        </is>
      </c>
      <c r="F66" s="27" t="inlineStr">
        <is>
          <t>commercial</t>
        </is>
      </c>
      <c r="G66" s="27" t="inlineStr">
        <is>
          <t>Proprietary (SaaS)</t>
        </is>
      </c>
      <c r="H66" s="27" t="n">
        <v>0</v>
      </c>
      <c r="I66" s="27" t="n">
        <v>0</v>
      </c>
      <c r="J66" s="27" t="n">
        <v>0</v>
      </c>
      <c r="K66" s="27" t="n">
        <v>0</v>
      </c>
      <c r="L66" s="27" t="n">
        <v>0</v>
      </c>
      <c r="M66" s="27" t="n">
        <v>0</v>
      </c>
      <c r="N66" s="27" t="n">
        <v>0</v>
      </c>
      <c r="O66" s="27" t="n">
        <v>0</v>
      </c>
      <c r="P66" s="27" t="inlineStr">
        <is>
          <t>ci_seq</t>
        </is>
      </c>
      <c r="Q66" s="27" t="inlineStr">
        <is>
          <t>per_build</t>
        </is>
      </c>
      <c r="R66" s="28">
        <f>INDEX('02_Freq_Weight'!$E$3:$E$9,MATCH(Q66,'02_Freq_Weight'!$A$3:$A$9,0))</f>
        <v/>
      </c>
      <c r="S66" s="27" t="n">
        <v>0.5</v>
      </c>
      <c r="T66" s="27" t="n">
        <v>365</v>
      </c>
      <c r="U66" s="29" t="n">
        <v>0.1</v>
      </c>
      <c r="V66" s="29" t="n">
        <v>0.3</v>
      </c>
      <c r="W66" s="26" t="inlineStr">
        <is>
          <t>registry, container_scan, artifact_sign</t>
        </is>
      </c>
      <c r="X66" s="26" t="inlineStr">
        <is>
          <t>ขมธอ. ลายมือชื่อ/เอกสารอิเล็กทรอนิกส์</t>
        </is>
      </c>
      <c r="Y66" s="26" t="inlineStr">
        <is>
          <t>CIS Benchmarks; ISO/IEC 42001:2023; NIST SP 800-161r1; NIST SSDF (SP 800-218); OWASP Top 10:2025; PCI DSS v4.0; SLSA v1.0</t>
        </is>
      </c>
      <c r="Z66" s="26" t="inlineStr">
        <is>
          <t>C-SC-CONTAINER, C-SC-REGISTRY, C-SC-SIGN</t>
        </is>
      </c>
      <c r="AA66" s="26" t="inlineStr">
        <is>
          <t>C-AI-GOV</t>
        </is>
      </c>
      <c r="AB66" s="27" t="n">
        <v>4</v>
      </c>
      <c r="AC66" s="26" t="inlineStr">
        <is>
          <t>Azure Container Registry; AWS ECR; JFrog Artifactory Cloud</t>
        </is>
      </c>
      <c r="AD66" s="26" t="inlineStr">
        <is>
          <t>Harbor; Zot</t>
        </is>
      </c>
      <c r="AE66" s="26" t="inlineStr">
        <is>
          <t>Managed registry — supports Docker, Maven, npm, Python, Apt, Yum packages; integrates with Binary Authorization</t>
        </is>
      </c>
      <c r="AF66" s="26" t="inlineStr">
        <is>
          <t>Artifact registry ของ GCP รองรับ multi-format (ไม่ใช่แค่ container), Vulnerability scanning (On-Demand/Automatic), SLSA provenance</t>
        </is>
      </c>
    </row>
    <row r="67" ht="58" customHeight="1">
      <c r="A67" s="30" t="inlineStr">
        <is>
          <t>azure-kubernetes-service</t>
        </is>
      </c>
      <c r="B67" s="31" t="inlineStr">
        <is>
          <t>Azure Kubernetes Service (AKS)</t>
        </is>
      </c>
      <c r="C67" s="32" t="n">
        <v>5</v>
      </c>
      <c r="D67" s="31" t="inlineStr">
        <is>
          <t>Cloud Container Orchestration</t>
        </is>
      </c>
      <c r="E67" s="32" t="inlineStr">
        <is>
          <t>Core</t>
        </is>
      </c>
      <c r="F67" s="32" t="inlineStr">
        <is>
          <t>commercial</t>
        </is>
      </c>
      <c r="G67" s="32" t="inlineStr">
        <is>
          <t>Proprietary (SaaS)</t>
        </is>
      </c>
      <c r="H67" s="32" t="n">
        <v>0</v>
      </c>
      <c r="I67" s="32" t="n">
        <v>0</v>
      </c>
      <c r="J67" s="32" t="n">
        <v>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inlineStr">
        <is>
          <t>resident</t>
        </is>
      </c>
      <c r="Q67" s="32" t="inlineStr">
        <is>
          <t>resident</t>
        </is>
      </c>
      <c r="R67" s="33">
        <f>INDEX('02_Freq_Weight'!$E$3:$E$9,MATCH(Q67,'02_Freq_Weight'!$A$3:$A$9,0))</f>
        <v/>
      </c>
      <c r="S67" s="32" t="n">
        <v>0.1</v>
      </c>
      <c r="T67" s="32" t="n">
        <v>90</v>
      </c>
      <c r="U67" s="34" t="n">
        <v>0.1</v>
      </c>
      <c r="V67" s="34" t="n">
        <v>0.25</v>
      </c>
      <c r="W67" s="31" t="inlineStr">
        <is>
          <t>orchestration, deploy_strategy, runtime_security, monitoring</t>
        </is>
      </c>
      <c r="X67" s="31" t="inlineStr">
        <is>
          <t>พ.ร.บ. ไซเบอร์ 2562; ขมธอ. การใช้บริการคลาวด์; ขมธอ. ความมั่นคงปลอดภัยสารสนเทศ; มาตรฐานคลาวด์ 2567; กรอบมาตรฐานไซเบอร์ 2564; มาตรฐานเว็บไซต์ 2568; PDPA 2562; ประกาศ PDPC แจ้งเหตุละเมิด 2565</t>
        </is>
      </c>
      <c r="Y67" s="31" t="inlineStr">
        <is>
          <t>CIS Benchmarks; CIS Controls v8.1; CSA CCM v4 / STAR; ISO/IEC 27001:2022; ISO/IEC 27017; ISO/IEC 42001:2023; NIST SP 800-207; NIST SP 800-53r5; NIST CSF 2.0; OWASP Top 10:2025; SOC 2 (TSC)</t>
        </is>
      </c>
      <c r="Z67" s="31" t="inlineStr">
        <is>
          <t>C-AI-DRIFT, C-OPS-DEPLOY, C-OPS-MONITOR, C-OPS-RUNTIME</t>
        </is>
      </c>
      <c r="AA67" s="31" t="inlineStr">
        <is>
          <t>C-IAM-LEAST, C-LOG-SIEM</t>
        </is>
      </c>
      <c r="AB67" s="32" t="n">
        <v>6</v>
      </c>
      <c r="AC67" s="31" t="inlineStr">
        <is>
          <t>AWS EKS; Google GKE; Red Hat OpenShift Dedicated</t>
        </is>
      </c>
      <c r="AD67" s="31" t="inlineStr">
        <is>
          <t>K3s; MicroK8s; Kubernetes (self-managed)</t>
        </is>
      </c>
      <c r="AE67" s="31" t="inlineStr">
        <is>
          <t>Managed K8s — control plane free, pay for worker nodes; supports spot/burstable VMs</t>
        </is>
      </c>
      <c r="AF67" s="31" t="inlineStr">
        <is>
          <t>Kubernetes managed ของ Azure รองรับ Azure Policy, Azure AD integration, KEDA auto-scaling, Defender for Containers</t>
        </is>
      </c>
    </row>
    <row r="68" ht="58" customHeight="1">
      <c r="A68" s="30" t="inlineStr">
        <is>
          <t>aws-eks</t>
        </is>
      </c>
      <c r="B68" s="31" t="inlineStr">
        <is>
          <t>Amazon Elastic Kubernetes Service (EKS)</t>
        </is>
      </c>
      <c r="C68" s="32" t="n">
        <v>5</v>
      </c>
      <c r="D68" s="31" t="inlineStr">
        <is>
          <t>Cloud Container Orchestration</t>
        </is>
      </c>
      <c r="E68" s="32" t="inlineStr">
        <is>
          <t>Core</t>
        </is>
      </c>
      <c r="F68" s="32" t="inlineStr">
        <is>
          <t>commercial</t>
        </is>
      </c>
      <c r="G68" s="32" t="inlineStr">
        <is>
          <t>Proprietary (SaaS)</t>
        </is>
      </c>
      <c r="H68" s="32" t="n">
        <v>0</v>
      </c>
      <c r="I68" s="32" t="n">
        <v>0</v>
      </c>
      <c r="J68" s="32" t="n">
        <v>0</v>
      </c>
      <c r="K68" s="32" t="n">
        <v>0</v>
      </c>
      <c r="L68" s="32" t="n">
        <v>0</v>
      </c>
      <c r="M68" s="32" t="n">
        <v>0</v>
      </c>
      <c r="N68" s="32" t="n">
        <v>0</v>
      </c>
      <c r="O68" s="32" t="n">
        <v>0</v>
      </c>
      <c r="P68" s="32" t="inlineStr">
        <is>
          <t>resident</t>
        </is>
      </c>
      <c r="Q68" s="32" t="inlineStr">
        <is>
          <t>resident</t>
        </is>
      </c>
      <c r="R68" s="33">
        <f>INDEX('02_Freq_Weight'!$E$3:$E$9,MATCH(Q68,'02_Freq_Weight'!$A$3:$A$9,0))</f>
        <v/>
      </c>
      <c r="S68" s="32" t="n">
        <v>0.1</v>
      </c>
      <c r="T68" s="32" t="n">
        <v>90</v>
      </c>
      <c r="U68" s="34" t="n">
        <v>0.1</v>
      </c>
      <c r="V68" s="34" t="n">
        <v>0.25</v>
      </c>
      <c r="W68" s="31" t="inlineStr">
        <is>
          <t>orchestration, deploy_strategy, runtime_security, monitoring</t>
        </is>
      </c>
      <c r="X68" s="31" t="inlineStr">
        <is>
          <t>พ.ร.บ. ไซเบอร์ 2562; ขมธอ. การใช้บริการคลาวด์; ขมธอ. ความมั่นคงปลอดภัยสารสนเทศ; มาตรฐานคลาวด์ 2567; กรอบมาตรฐานไซเบอร์ 2564; มาตรฐานเว็บไซต์ 2568; PDPA 2562; ประกาศ PDPC แจ้งเหตุละเมิด 2565</t>
        </is>
      </c>
      <c r="Y68" s="31" t="inlineStr">
        <is>
          <t>CIS Benchmarks; CIS Controls v8.1; CSA CCM v4 / STAR; ISO/IEC 27001:2022; ISO/IEC 27017; ISO/IEC 42001:2023; NIST SP 800-207; NIST SP 800-53r5; NIST CSF 2.0; OWASP Top 10:2025; SOC 2 (TSC)</t>
        </is>
      </c>
      <c r="Z68" s="31" t="inlineStr">
        <is>
          <t>C-AI-DRIFT, C-OPS-DEPLOY, C-OPS-MONITOR, C-OPS-RUNTIME</t>
        </is>
      </c>
      <c r="AA68" s="31" t="inlineStr">
        <is>
          <t>C-IAM-LEAST, C-LOG-SIEM</t>
        </is>
      </c>
      <c r="AB68" s="32" t="n">
        <v>6</v>
      </c>
      <c r="AC68" s="31" t="inlineStr">
        <is>
          <t>Azure AKS; Google GKE; Red Hat OpenShift on AWS (ROSA)</t>
        </is>
      </c>
      <c r="AD68" s="31" t="inlineStr">
        <is>
          <t>K3s; Kubernetes (self-managed on EC2)</t>
        </is>
      </c>
      <c r="AE68" s="31" t="inlineStr">
        <is>
          <t>Managed K8s — control plane $0.10/hr, pay for worker nodes (EC2/Fargate); supports Karpenter auto-scaling</t>
        </is>
      </c>
      <c r="AF68" s="31" t="inlineStr">
        <is>
          <t>Kubernetes managed ของ AWS รองรับ Fargate (serverless pods), GuardDuty EKS Protection, IAM Roles for Service Accounts (IRSA)</t>
        </is>
      </c>
    </row>
    <row r="69" ht="58" customHeight="1">
      <c r="A69" s="30" t="inlineStr">
        <is>
          <t>gcp-gke</t>
        </is>
      </c>
      <c r="B69" s="31" t="inlineStr">
        <is>
          <t>Google Kubernetes Engine (GKE)</t>
        </is>
      </c>
      <c r="C69" s="32" t="n">
        <v>5</v>
      </c>
      <c r="D69" s="31" t="inlineStr">
        <is>
          <t>Cloud Container Orchestration</t>
        </is>
      </c>
      <c r="E69" s="32" t="inlineStr">
        <is>
          <t>Core</t>
        </is>
      </c>
      <c r="F69" s="32" t="inlineStr">
        <is>
          <t>commercial</t>
        </is>
      </c>
      <c r="G69" s="32" t="inlineStr">
        <is>
          <t>Proprietary (SaaS)</t>
        </is>
      </c>
      <c r="H69" s="32" t="n">
        <v>0</v>
      </c>
      <c r="I69" s="32" t="n">
        <v>0</v>
      </c>
      <c r="J69" s="32" t="n">
        <v>0</v>
      </c>
      <c r="K69" s="32" t="n">
        <v>0</v>
      </c>
      <c r="L69" s="32" t="n">
        <v>0</v>
      </c>
      <c r="M69" s="32" t="n">
        <v>0</v>
      </c>
      <c r="N69" s="32" t="n">
        <v>0</v>
      </c>
      <c r="O69" s="32" t="n">
        <v>0</v>
      </c>
      <c r="P69" s="32" t="inlineStr">
        <is>
          <t>resident</t>
        </is>
      </c>
      <c r="Q69" s="32" t="inlineStr">
        <is>
          <t>resident</t>
        </is>
      </c>
      <c r="R69" s="33">
        <f>INDEX('02_Freq_Weight'!$E$3:$E$9,MATCH(Q69,'02_Freq_Weight'!$A$3:$A$9,0))</f>
        <v/>
      </c>
      <c r="S69" s="32" t="n">
        <v>0.1</v>
      </c>
      <c r="T69" s="32" t="n">
        <v>90</v>
      </c>
      <c r="U69" s="34" t="n">
        <v>0.1</v>
      </c>
      <c r="V69" s="34" t="n">
        <v>0.25</v>
      </c>
      <c r="W69" s="31" t="inlineStr">
        <is>
          <t>orchestration, deploy_strategy, runtime_security, monitoring</t>
        </is>
      </c>
      <c r="X69" s="31" t="inlineStr">
        <is>
          <t>พ.ร.บ. ไซเบอร์ 2562; ขมธอ. การใช้บริการคลาวด์; ขมธอ. ความมั่นคงปลอดภัยสารสนเทศ; มาตรฐานคลาวด์ 2567; กรอบมาตรฐานไซเบอร์ 2564; มาตรฐานเว็บไซต์ 2568; PDPA 2562; ประกาศ PDPC แจ้งเหตุละเมิด 2565</t>
        </is>
      </c>
      <c r="Y69" s="31" t="inlineStr">
        <is>
          <t>CIS Benchmarks; CIS Controls v8.1; CSA CCM v4 / STAR; ISO/IEC 27001:2022; ISO/IEC 27017; ISO/IEC 42001:2023; NIST SP 800-207; NIST SP 800-53r5; NIST CSF 2.0; OWASP Top 10:2025; SOC 2 (TSC)</t>
        </is>
      </c>
      <c r="Z69" s="31" t="inlineStr">
        <is>
          <t>C-AI-DRIFT, C-OPS-DEPLOY, C-OPS-MONITOR, C-OPS-RUNTIME</t>
        </is>
      </c>
      <c r="AA69" s="31" t="inlineStr">
        <is>
          <t>C-IAM-LEAST, C-LOG-SIEM</t>
        </is>
      </c>
      <c r="AB69" s="32" t="n">
        <v>6</v>
      </c>
      <c r="AC69" s="31" t="inlineStr">
        <is>
          <t>Azure AKS; AWS EKS; Red Hat OpenShift Dedicated</t>
        </is>
      </c>
      <c r="AD69" s="31" t="inlineStr">
        <is>
          <t>K3s; Kubernetes (self-managed on GCE)</t>
        </is>
      </c>
      <c r="AE69" s="31" t="inlineStr">
        <is>
          <t>Managed K8s — Autopilot mode (fully managed nodes) or Standard mode; supports GKE Sandbox, Binary Authorization</t>
        </is>
      </c>
      <c r="AF69" s="31" t="inlineStr">
        <is>
          <t>Kubernetes managed ของ GCP เป็น original contributor; GKE Autopilot จัดการ node อัตโนมัติ, รองรับ Anthos สำหรับ multi-cloud</t>
        </is>
      </c>
    </row>
    <row r="70" ht="58" customHeight="1">
      <c r="A70" s="30" t="inlineStr">
        <is>
          <t>azure-key-vault</t>
        </is>
      </c>
      <c r="B70" s="31" t="inlineStr">
        <is>
          <t>Azure Key Vault</t>
        </is>
      </c>
      <c r="C70" s="32" t="n">
        <v>5</v>
      </c>
      <c r="D70" s="31" t="inlineStr">
        <is>
          <t>Cloud Secret Management</t>
        </is>
      </c>
      <c r="E70" s="32" t="inlineStr">
        <is>
          <t>Core</t>
        </is>
      </c>
      <c r="F70" s="32" t="inlineStr">
        <is>
          <t>commercial</t>
        </is>
      </c>
      <c r="G70" s="32" t="inlineStr">
        <is>
          <t>Proprietary (SaaS)</t>
        </is>
      </c>
      <c r="H70" s="32" t="n">
        <v>0</v>
      </c>
      <c r="I70" s="32" t="n">
        <v>0</v>
      </c>
      <c r="J70" s="32" t="n">
        <v>0</v>
      </c>
      <c r="K70" s="32" t="n">
        <v>0</v>
      </c>
      <c r="L70" s="32" t="n">
        <v>0</v>
      </c>
      <c r="M70" s="32" t="n">
        <v>0</v>
      </c>
      <c r="N70" s="32" t="n">
        <v>0</v>
      </c>
      <c r="O70" s="32" t="n">
        <v>0</v>
      </c>
      <c r="P70" s="32" t="inlineStr">
        <is>
          <t>resident</t>
        </is>
      </c>
      <c r="Q70" s="32" t="inlineStr">
        <is>
          <t>resident</t>
        </is>
      </c>
      <c r="R70" s="33">
        <f>INDEX('02_Freq_Weight'!$E$3:$E$9,MATCH(Q70,'02_Freq_Weight'!$A$3:$A$9,0))</f>
        <v/>
      </c>
      <c r="S70" s="32" t="n">
        <v>0.01</v>
      </c>
      <c r="T70" s="32" t="n">
        <v>2555</v>
      </c>
      <c r="U70" s="34" t="n">
        <v>0.05</v>
      </c>
      <c r="V70" s="34" t="n">
        <v>0.1</v>
      </c>
      <c r="W70" s="31" t="inlineStr">
        <is>
          <t>secret_mgmt, crypto_agility, tls_check</t>
        </is>
      </c>
      <c r="X70" s="31" t="inlineStr">
        <is>
          <t>มสพร. 11-2566 เว็บไซต์ภาครัฐ 3.0; พ.ร.บ. ปฏิบัติราชการทางอิเล็กทรอนิกส์ 2565; ขมธอ. การใช้บริการคลาวด์; ขมธอ. ลายมือชื่อ/เอกสารอิเล็กทรอนิกส์; ขมธอ. ความมั่นคงปลอดภัยสารสนเทศ; มาตรฐานคลาวด์ 2567; มาตรฐานเว็บไซต์ 2568; PDPA 2562; ประกาศ PDPC มาตรการความปลอดภัย 2565; พ.ร.ฎ. วิธีการแบบปลอดภัย 2553</t>
        </is>
      </c>
      <c r="Y70" s="31" t="inlineStr">
        <is>
          <t>CSA CCM v4 / STAR; CycloneDX / ECMA-424; ISO/IEC 27001:2022; ISO/IEC 27002:2022; ISO/IEC 27017; ISO/IEC 27018; ISO/IEC 27701; ISO/IEC 29100; NIST PQC Migration; OWASP ASVS 5.0; OWASP MASVS; OWASP Top 10:2025; PCI DSS v4.0</t>
        </is>
      </c>
      <c r="Z70" s="31" t="inlineStr">
        <is>
          <t>C-CRY-KEY, C-CRY-PQC, C-CRY-TLS</t>
        </is>
      </c>
      <c r="AA70" s="31" t="inlineStr">
        <is>
          <t>C-PRV-MEASURE, C-SDLC-SECRET</t>
        </is>
      </c>
      <c r="AB70" s="32" t="n">
        <v>5</v>
      </c>
      <c r="AC70" s="31" t="inlineStr">
        <is>
          <t>AWS Secrets Manager + KMS; Google Secret Manager + Cloud KMS; HashiCorp Vault Enterprise</t>
        </is>
      </c>
      <c r="AD70" s="31" t="inlineStr">
        <is>
          <t>OpenBao; Infisical</t>
        </is>
      </c>
      <c r="AE70" s="31" t="inlineStr">
        <is>
          <t>Managed — pricing per 10K operations + HSM-backed keys; supports FIPS 140-2 Level 2/3</t>
        </is>
      </c>
      <c r="AF70" s="31" t="inlineStr">
        <is>
          <t>Secret/Key management ของ Azure; HSM-backed, auto-rotation, Azure RBAC integration, supports certificates management</t>
        </is>
      </c>
    </row>
    <row r="71" ht="58" customHeight="1">
      <c r="A71" s="30" t="inlineStr">
        <is>
          <t>aws-secrets-manager</t>
        </is>
      </c>
      <c r="B71" s="31" t="inlineStr">
        <is>
          <t>AWS Secrets Manager + KMS</t>
        </is>
      </c>
      <c r="C71" s="32" t="n">
        <v>5</v>
      </c>
      <c r="D71" s="31" t="inlineStr">
        <is>
          <t>Cloud Secret Management</t>
        </is>
      </c>
      <c r="E71" s="32" t="inlineStr">
        <is>
          <t>Core</t>
        </is>
      </c>
      <c r="F71" s="32" t="inlineStr">
        <is>
          <t>commercial</t>
        </is>
      </c>
      <c r="G71" s="32" t="inlineStr">
        <is>
          <t>Proprietary (SaaS)</t>
        </is>
      </c>
      <c r="H71" s="32" t="n">
        <v>0</v>
      </c>
      <c r="I71" s="32" t="n">
        <v>0</v>
      </c>
      <c r="J71" s="32" t="n">
        <v>0</v>
      </c>
      <c r="K71" s="32" t="n">
        <v>0</v>
      </c>
      <c r="L71" s="32" t="n">
        <v>0</v>
      </c>
      <c r="M71" s="32" t="n">
        <v>0</v>
      </c>
      <c r="N71" s="32" t="n">
        <v>0</v>
      </c>
      <c r="O71" s="32" t="n">
        <v>0</v>
      </c>
      <c r="P71" s="32" t="inlineStr">
        <is>
          <t>resident</t>
        </is>
      </c>
      <c r="Q71" s="32" t="inlineStr">
        <is>
          <t>resident</t>
        </is>
      </c>
      <c r="R71" s="33">
        <f>INDEX('02_Freq_Weight'!$E$3:$E$9,MATCH(Q71,'02_Freq_Weight'!$A$3:$A$9,0))</f>
        <v/>
      </c>
      <c r="S71" s="32" t="n">
        <v>0.01</v>
      </c>
      <c r="T71" s="32" t="n">
        <v>2555</v>
      </c>
      <c r="U71" s="34" t="n">
        <v>0.05</v>
      </c>
      <c r="V71" s="34" t="n">
        <v>0.1</v>
      </c>
      <c r="W71" s="31" t="inlineStr">
        <is>
          <t>secret_mgmt, crypto_agility</t>
        </is>
      </c>
      <c r="X71" s="31" t="inlineStr">
        <is>
          <t>มสพร. 11-2566 เว็บไซต์ภาครัฐ 3.0; ขมธอ. การใช้บริการคลาวด์; ขมธอ. ลายมือชื่อ/เอกสารอิเล็กทรอนิกส์; มาตรฐานคลาวด์ 2567; PDPA 2562; ประกาศ PDPC มาตรการความปลอดภัย 2565</t>
        </is>
      </c>
      <c r="Y71" s="31" t="inlineStr">
        <is>
          <t>CSA CCM v4 / STAR; CycloneDX / ECMA-424; ISO/IEC 27001:2022; ISO/IEC 27002:2022; ISO/IEC 27017; ISO/IEC 27018; ISO/IEC 27701; ISO/IEC 29100; NIST PQC Migration; OWASP ASVS 5.0; OWASP MASVS; OWASP Top 10:2025</t>
        </is>
      </c>
      <c r="Z71" s="31" t="inlineStr">
        <is>
          <t>C-CRY-KEY</t>
        </is>
      </c>
      <c r="AA71" s="31" t="inlineStr">
        <is>
          <t>C-CRY-PQC, C-PRV-MEASURE, C-SDLC-SECRET</t>
        </is>
      </c>
      <c r="AB71" s="32" t="n">
        <v>4</v>
      </c>
      <c r="AC71" s="31" t="inlineStr">
        <is>
          <t>Azure Key Vault; Google Secret Manager; HashiCorp Vault Enterprise</t>
        </is>
      </c>
      <c r="AD71" s="31" t="inlineStr">
        <is>
          <t>OpenBao; SOPS + age</t>
        </is>
      </c>
      <c r="AE71" s="31" t="inlineStr">
        <is>
          <t>Managed — $0.40/secret/month + $0.05/10K API calls; KMS supports FIPS 140-2 Level 3 (CloudHSM)</t>
        </is>
      </c>
      <c r="AF71" s="31" t="inlineStr">
        <is>
          <t>Secret management ของ AWS; auto-rotation สำหรับ RDS/Redshift/DocumentDB, CloudHSM สำหรับ compliance สูง</t>
        </is>
      </c>
    </row>
    <row r="72" ht="58" customHeight="1">
      <c r="A72" s="35" t="inlineStr">
        <is>
          <t>azure-monitor</t>
        </is>
      </c>
      <c r="B72" s="36" t="inlineStr">
        <is>
          <t>Azure Monitor + Log Analytics + Application Insights</t>
        </is>
      </c>
      <c r="C72" s="37" t="n">
        <v>6</v>
      </c>
      <c r="D72" s="36" t="inlineStr">
        <is>
          <t>Cloud Monitoring</t>
        </is>
      </c>
      <c r="E72" s="37" t="inlineStr">
        <is>
          <t>Core</t>
        </is>
      </c>
      <c r="F72" s="37" t="inlineStr">
        <is>
          <t>commercial</t>
        </is>
      </c>
      <c r="G72" s="37" t="inlineStr">
        <is>
          <t>Proprietary (SaaS)</t>
        </is>
      </c>
      <c r="H72" s="37" t="n">
        <v>0</v>
      </c>
      <c r="I72" s="37" t="n">
        <v>0</v>
      </c>
      <c r="J72" s="37" t="n">
        <v>0</v>
      </c>
      <c r="K72" s="37" t="n">
        <v>0</v>
      </c>
      <c r="L72" s="37" t="n">
        <v>0</v>
      </c>
      <c r="M72" s="37" t="n">
        <v>0</v>
      </c>
      <c r="N72" s="37" t="n">
        <v>0</v>
      </c>
      <c r="O72" s="37" t="n">
        <v>0</v>
      </c>
      <c r="P72" s="37" t="inlineStr">
        <is>
          <t>resident</t>
        </is>
      </c>
      <c r="Q72" s="37" t="inlineStr">
        <is>
          <t>resident</t>
        </is>
      </c>
      <c r="R72" s="38">
        <f>INDEX('02_Freq_Weight'!$E$3:$E$9,MATCH(Q72,'02_Freq_Weight'!$A$3:$A$9,0))</f>
        <v/>
      </c>
      <c r="S72" s="37" t="n">
        <v>1</v>
      </c>
      <c r="T72" s="37" t="n">
        <v>90</v>
      </c>
      <c r="U72" s="39" t="n">
        <v>0.1</v>
      </c>
      <c r="V72" s="39" t="n">
        <v>0.3</v>
      </c>
      <c r="W72" s="36" t="inlineStr">
        <is>
          <t>monitoring, log_mgmt, siem_alert, audit_trail</t>
        </is>
      </c>
      <c r="X72" s="36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72" s="36" t="inlineStr">
        <is>
          <t>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      </is>
      </c>
      <c r="Z72" s="36" t="inlineStr">
        <is>
          <t>C-LOG-90, C-LOG-AUDIT, C-LOG-CENTRAL, C-LOG-SIEM, C-OPS-MONITOR</t>
        </is>
      </c>
      <c r="AA72" s="36" t="inlineStr">
        <is>
          <t>C-AI-DRIFT, C-LOG-NOTIFY, C-OPS-BCP, C-PRV-BREACH, C-PRV-MEASURE, C-PRV-MINIMIZE, C-SDLC-TRACE, C-WEB-SELF</t>
        </is>
      </c>
      <c r="AB72" s="37" t="n">
        <v>13</v>
      </c>
      <c r="AC72" s="36" t="inlineStr">
        <is>
          <t>AWS CloudWatch + X-Ray; Google Cloud Operations; Datadog; Splunk Cloud</t>
        </is>
      </c>
      <c r="AD72" s="36" t="inlineStr">
        <is>
          <t>Prometheus + Grafana + Loki; ELK Stack</t>
        </is>
      </c>
      <c r="AE72" s="36" t="inlineStr">
        <is>
          <t>Managed — pricing per GB ingested + retention; supports 30-day to 2-year retention in workspace</t>
        </is>
      </c>
      <c r="AF72" s="36" t="inlineStr">
        <is>
          <t>Observability suite ของ Azure รวม metrics, logs, traces, alerts ในที่เดียว; รองรับ Microsoft Sentinel (SIEM) add-on</t>
        </is>
      </c>
    </row>
    <row r="73" ht="58" customHeight="1">
      <c r="A73" s="35" t="inlineStr">
        <is>
          <t>aws-cloudwatch</t>
        </is>
      </c>
      <c r="B73" s="36" t="inlineStr">
        <is>
          <t>Amazon CloudWatch + CloudTrail + X-Ray</t>
        </is>
      </c>
      <c r="C73" s="37" t="n">
        <v>6</v>
      </c>
      <c r="D73" s="36" t="inlineStr">
        <is>
          <t>Cloud Monitoring</t>
        </is>
      </c>
      <c r="E73" s="37" t="inlineStr">
        <is>
          <t>Core</t>
        </is>
      </c>
      <c r="F73" s="37" t="inlineStr">
        <is>
          <t>commercial</t>
        </is>
      </c>
      <c r="G73" s="37" t="inlineStr">
        <is>
          <t>Proprietary (SaaS)</t>
        </is>
      </c>
      <c r="H73" s="37" t="n">
        <v>0</v>
      </c>
      <c r="I73" s="37" t="n">
        <v>0</v>
      </c>
      <c r="J73" s="37" t="n">
        <v>0</v>
      </c>
      <c r="K73" s="37" t="n">
        <v>0</v>
      </c>
      <c r="L73" s="37" t="n">
        <v>0</v>
      </c>
      <c r="M73" s="37" t="n">
        <v>0</v>
      </c>
      <c r="N73" s="37" t="n">
        <v>0</v>
      </c>
      <c r="O73" s="37" t="n">
        <v>0</v>
      </c>
      <c r="P73" s="37" t="inlineStr">
        <is>
          <t>resident</t>
        </is>
      </c>
      <c r="Q73" s="37" t="inlineStr">
        <is>
          <t>resident</t>
        </is>
      </c>
      <c r="R73" s="38">
        <f>INDEX('02_Freq_Weight'!$E$3:$E$9,MATCH(Q73,'02_Freq_Weight'!$A$3:$A$9,0))</f>
        <v/>
      </c>
      <c r="S73" s="37" t="n">
        <v>1</v>
      </c>
      <c r="T73" s="37" t="n">
        <v>90</v>
      </c>
      <c r="U73" s="39" t="n">
        <v>0.1</v>
      </c>
      <c r="V73" s="39" t="n">
        <v>0.3</v>
      </c>
      <c r="W73" s="36" t="inlineStr">
        <is>
          <t>monitoring, log_mgmt, audit_trail, siem_alert</t>
        </is>
      </c>
      <c r="X73" s="36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73" s="36" t="inlineStr">
        <is>
          <t>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      </is>
      </c>
      <c r="Z73" s="36" t="inlineStr">
        <is>
          <t>C-LOG-90, C-LOG-AUDIT, C-LOG-CENTRAL, C-LOG-SIEM, C-OPS-MONITOR</t>
        </is>
      </c>
      <c r="AA73" s="36" t="inlineStr">
        <is>
          <t>C-AI-DRIFT, C-LOG-NOTIFY, C-OPS-BCP, C-PRV-BREACH, C-PRV-MEASURE, C-PRV-MINIMIZE, C-SDLC-TRACE, C-WEB-SELF</t>
        </is>
      </c>
      <c r="AB73" s="37" t="n">
        <v>13</v>
      </c>
      <c r="AC73" s="36" t="inlineStr">
        <is>
          <t>Azure Monitor; Google Cloud Operations; Datadog; Splunk Cloud</t>
        </is>
      </c>
      <c r="AD73" s="36" t="inlineStr">
        <is>
          <t>Prometheus + Grafana + Loki; OpenSearch</t>
        </is>
      </c>
      <c r="AE73" s="36" t="inlineStr">
        <is>
          <t>Managed — CloudWatch Logs pricing per GB ingested; CloudTrail free for management events</t>
        </is>
      </c>
      <c r="AF73" s="36" t="inlineStr">
        <is>
          <t>Monitoring + audit ของ AWS; CloudTrail จับ API calls ทุก action, CloudWatch Logs เก็บ application logs, X-Ray สำหรับ distributed tracing</t>
        </is>
      </c>
    </row>
    <row r="74" ht="58" customHeight="1">
      <c r="A74" s="35" t="inlineStr">
        <is>
          <t>gcp-cloud-operations</t>
        </is>
      </c>
      <c r="B74" s="36" t="inlineStr">
        <is>
          <t>Google Cloud Operations (Logging + Monitoring + Trace)</t>
        </is>
      </c>
      <c r="C74" s="37" t="n">
        <v>6</v>
      </c>
      <c r="D74" s="36" t="inlineStr">
        <is>
          <t>Cloud Monitoring</t>
        </is>
      </c>
      <c r="E74" s="37" t="inlineStr">
        <is>
          <t>Core</t>
        </is>
      </c>
      <c r="F74" s="37" t="inlineStr">
        <is>
          <t>commercial</t>
        </is>
      </c>
      <c r="G74" s="37" t="inlineStr">
        <is>
          <t>Proprietary (SaaS)</t>
        </is>
      </c>
      <c r="H74" s="37" t="n">
        <v>0</v>
      </c>
      <c r="I74" s="37" t="n">
        <v>0</v>
      </c>
      <c r="J74" s="37" t="n">
        <v>0</v>
      </c>
      <c r="K74" s="37" t="n">
        <v>0</v>
      </c>
      <c r="L74" s="37" t="n">
        <v>0</v>
      </c>
      <c r="M74" s="37" t="n">
        <v>0</v>
      </c>
      <c r="N74" s="37" t="n">
        <v>0</v>
      </c>
      <c r="O74" s="37" t="n">
        <v>0</v>
      </c>
      <c r="P74" s="37" t="inlineStr">
        <is>
          <t>resident</t>
        </is>
      </c>
      <c r="Q74" s="37" t="inlineStr">
        <is>
          <t>resident</t>
        </is>
      </c>
      <c r="R74" s="38">
        <f>INDEX('02_Freq_Weight'!$E$3:$E$9,MATCH(Q74,'02_Freq_Weight'!$A$3:$A$9,0))</f>
        <v/>
      </c>
      <c r="S74" s="37" t="n">
        <v>1</v>
      </c>
      <c r="T74" s="37" t="n">
        <v>90</v>
      </c>
      <c r="U74" s="39" t="n">
        <v>0.1</v>
      </c>
      <c r="V74" s="39" t="n">
        <v>0.3</v>
      </c>
      <c r="W74" s="36" t="inlineStr">
        <is>
          <t>monitoring, log_mgmt, audit_trail, siem_alert</t>
        </is>
      </c>
      <c r="X74" s="36" t="inlineStr">
        <is>
          <t>พ.ร.บ. คอมพิวเตอร์ 2550/2560; พ.ร.บ. ไซเบอร์ 2562; มสพร. 11-2566 เว็บไซต์ภาครัฐ 3.0; มาตรฐานข้อมูลเปิดภาครัฐ; พ.ร.บ. ปฏิบัติราชการทางอิเล็กทรอนิกส์ 2565; ขมธอ. ลายมือชื่อ/เอกสารอิเล็กทรอนิกส์; ขมธอ. ความมั่นคงปลอดภัยสารสนเทศ; ITA (ป.ป.ช.); มาตรฐานคลาวด์ 2567; มาตรฐานขั้นต่ำ 2566; กรอบมาตรฐานไซเบอร์ 2564; มาตรฐานเว็บไซต์ 2568; PDPA 2562; ประกาศ PDPC แจ้งเหตุละเมิด 2565; ประกาศ PDPC มาตรการความปลอดภัย 2565; พ.ร.ฎ. วิธีการแบบปลอดภัย 2553</t>
        </is>
      </c>
      <c r="Y74" s="36" t="inlineStr">
        <is>
          <t>CIS Controls v8.1; CSA CCM v4 / STAR; ISO 22301:2019; ISO/IEC 27001:2022; ISO/IEC 27002:2022; ISO/IEC 27017; ISO/IEC 27018; ISO/IEC 27701; ISO/IEC 29100; ISO/IEC 42001:2023; NIST SP 800-207; NIST SP 800-53r5; NIST CSF 2.0; NIST SSDF (SP 800-218); OWASP ASVS 5.0; OWASP Top 10:2025; PCI DSS v4.0; SLSA v1.0; SOC 2 (TSC)</t>
        </is>
      </c>
      <c r="Z74" s="36" t="inlineStr">
        <is>
          <t>C-LOG-90, C-LOG-AUDIT, C-LOG-CENTRAL, C-LOG-SIEM, C-OPS-MONITOR</t>
        </is>
      </c>
      <c r="AA74" s="36" t="inlineStr">
        <is>
          <t>C-AI-DRIFT, C-LOG-NOTIFY, C-OPS-BCP, C-PRV-BREACH, C-PRV-MEASURE, C-PRV-MINIMIZE, C-SDLC-TRACE, C-WEB-SELF</t>
        </is>
      </c>
      <c r="AB74" s="37" t="n">
        <v>13</v>
      </c>
      <c r="AC74" s="36" t="inlineStr">
        <is>
          <t>Azure Monitor; AWS CloudWatch; Datadog; Splunk Cloud</t>
        </is>
      </c>
      <c r="AD74" s="36" t="inlineStr">
        <is>
          <t>Prometheus + Grafana + Loki; OpenSearch</t>
        </is>
      </c>
      <c r="AE74" s="36" t="inlineStr">
        <is>
          <t>Managed — first 50 GB/month free for logs; integrates with Chronicle SIEM for security operations</t>
        </is>
      </c>
      <c r="AF74" s="36" t="inlineStr">
        <is>
          <t>Observability ของ GCP; Cloud Logging + Cloud Monitoring + Cloud Trace; รองรับ Chronicle (SIEM) และ Security Command Center</t>
        </is>
      </c>
    </row>
    <row r="76">
      <c r="A76" s="40" t="inlineStr">
        <is>
          <t>สรุป</t>
        </is>
      </c>
      <c r="H76" s="41">
        <f>SUM(H3:H74)</f>
        <v/>
      </c>
      <c r="I76" s="41">
        <f>SUM(I3:I74)</f>
        <v/>
      </c>
      <c r="J76" s="41">
        <f>SUM(J3:J74)</f>
        <v/>
      </c>
    </row>
    <row r="77">
      <c r="A77" s="42" t="inlineStr">
        <is>
          <t>ผลรวมข้างบนคือ 'ถ้าแยกทุกเครื่องมือคนละเครื่อง' ซึ่งไม่ใช่วิธีที่ใช้จริง — ดูการคำนวณกรณีแชร์เครื่องที่ชีท 03 และ 04</t>
        </is>
      </c>
    </row>
    <row r="79">
      <c r="A79" s="43" t="inlineStr">
        <is>
          <t>หมายเหตุที่มาของข้อมูล</t>
        </is>
      </c>
    </row>
    <row r="80">
      <c r="A80" s="44" t="inlineStr">
        <is>
          <t>• โครงสร้าง 6 Stage และรายชื่อเครื่องมือ: CI/CD Service Blueprint V0.2</t>
        </is>
      </c>
    </row>
    <row r="81">
      <c r="A81" s="44" t="inlineStr">
        <is>
          <t>• ข้อกำหนด compliance: แนวปฏิบัติการพัฒนาซอฟต์แวร์ กฎระเบียบเกี่ยวข้องทางไซเบอร์และสถาปัตยกรรมระบบที่มั่นคงปลอดภัย V0.2</t>
        </is>
      </c>
    </row>
    <row r="82">
      <c r="A82" s="44" t="inlineStr">
        <is>
          <t>• ค่า min/rec: เอกสารติดตั้งของผู้พัฒนาแต่ละเครื่องมือ (ดูคอลัมน์ Sizing Reference) และค่าที่พบจากการใช้งานจริงระดับ UAT/Production ขนาดเล็ก</t>
        </is>
      </c>
    </row>
    <row r="83">
      <c r="A83" s="44" t="inlineStr">
        <is>
          <t>• ค่าฐานปริมาณข้อมูล: ค่าฐานอ้างอิงสภาพแวดล้อม UAT/Production ขนาดเล็ก: ประมาณ 10 builds/วัน, 1-3 แอปพลิเคชัน, ทีม 5-15 คน, log ระดับ INFO — ใช้ Scale Factor ในโปรแกรมเพื่อขยายตามขนาดจริง</t>
        </is>
      </c>
    </row>
    <row r="84">
      <c r="A84" s="44" t="inlineStr">
        <is>
          <t>• คอลัมน์ 'มาตรฐานไทย/สากลที่ช่วยตอบ' คำนวณจาก capability ของเครื่องมือเทียบกับข้อกำหนดในชีท 07 จึงเปลี่ยนตามอัตโนมัติเมื่อเพิ่มข้อกำหนดใหม่</t>
        </is>
      </c>
    </row>
    <row r="85">
      <c r="A85" s="44" t="inlineStr">
        <is>
          <t>• 'ตอบได้ครบด้วยตัวเอง' = capability ทุกตัวที่ข้อกำหนดนั้นต้องการ มีอยู่ในเครื่องมือนี้ตัวเดียว | 'ช่วยตอบบางส่วน' = ต้องมีเครื่องมืออื่นประกอบด้วย</t>
        </is>
      </c>
    </row>
    <row r="86">
      <c r="A86" s="44" t="inlineStr">
        <is>
          <t>• การมีเครื่องมือครบ ไม่ได้แปลว่าผ่านมาตรฐาน — ยังต้องตั้งค่าให้ถูกต้องและมีหลักฐานการตรวจสอบตามที่กฎหมายกำหนด</t>
        </is>
      </c>
    </row>
    <row r="87">
      <c r="A87" s="44" t="inlineStr">
        <is>
          <t>• ตัวเลขทั้งหมดเป็น 'ค่าตั้งต้นสำหรับประเมิน' ต้องปรับตามผลวัดจริง (baseline measurement) หลังติดตั้ง 2-4 สัปดาห์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4" customWidth="1" min="4" max="4"/>
    <col width="12" customWidth="1" min="5" max="5"/>
    <col width="70" customWidth="1" min="6" max="6"/>
  </cols>
  <sheetData>
    <row r="1" ht="24" customHeight="1">
      <c r="A1" s="8" t="inlineStr">
        <is>
          <t>02 — ชั้นความถี่การรัน และการแปลงเป็นน้ำหนัก (Duty Weight)</t>
        </is>
      </c>
      <c r="C1" s="3" t="inlineStr">
        <is>
          <t>w_solo = w_base + w_span x activity_index  -&gt;  ช่วงเดี่ยว 20% - 60%; บน VM ใช้ w_max(n) ladder</t>
        </is>
      </c>
    </row>
    <row r="2" ht="42" customHeight="1">
      <c r="A2" s="9" t="inlineStr">
        <is>
          <t>freq_id</t>
        </is>
      </c>
      <c r="B2" s="9" t="inlineStr">
        <is>
          <t>ความถี่การรัน</t>
        </is>
      </c>
      <c r="C2" s="9" t="inlineStr">
        <is>
          <t>ครั้ง/วัน</t>
        </is>
      </c>
      <c r="D2" s="9" t="inlineStr">
        <is>
          <t>activity_index</t>
        </is>
      </c>
      <c r="E2" s="9" t="inlineStr">
        <is>
          <t>น้ำหนัก w</t>
        </is>
      </c>
      <c r="F2" s="9" t="inlineStr">
        <is>
          <t>เหตุผล / ข้อควรระวัง</t>
        </is>
      </c>
    </row>
    <row r="3" ht="34" customHeight="1">
      <c r="A3" s="45" t="inlineStr">
        <is>
          <t>resident</t>
        </is>
      </c>
      <c r="B3" s="46" t="inlineStr">
        <is>
          <t>รันค้างตลอดเวลา 24/7 (Resident Daemon)</t>
        </is>
      </c>
      <c r="C3" s="45" t="inlineStr">
        <is>
          <t>ตลอดเวลา</t>
        </is>
      </c>
      <c r="D3" s="45" t="n">
        <v>1</v>
      </c>
      <c r="E3" s="47">
        <f>'05_Params'!$B$9+'05_Params'!$B$10*D3</f>
        <v/>
      </c>
      <c r="F3" s="48" t="inlineStr">
        <is>
          <t>น้ำหนักสูงสุด 60% เมื่ออยู่เครื่องเดียว ลดตามจำนวนเครื่องมือร่วมเครื่องลงถึงพื้น 20%</t>
        </is>
      </c>
    </row>
    <row r="4" ht="34" customHeight="1">
      <c r="A4" s="45" t="inlineStr">
        <is>
          <t>per_commit</t>
        </is>
      </c>
      <c r="B4" s="46" t="inlineStr">
        <is>
          <t>ทุก Commit / Push (10-30 ครั้ง/วัน)</t>
        </is>
      </c>
      <c r="C4" s="45" t="inlineStr">
        <is>
          <t>10-30</t>
        </is>
      </c>
      <c r="D4" s="45" t="n">
        <v>0.8</v>
      </c>
      <c r="E4" s="47">
        <f>'05_Params'!$B$9+'05_Params'!$B$10*D4</f>
        <v/>
      </c>
      <c r="F4" s="48" t="inlineStr">
        <is>
          <t>Trigger บ่อย ยังซ้อนทับได้ แต่ถูกจำกัดด้วยเพดาน w_max(n) ของเครื่องนั้น</t>
        </is>
      </c>
    </row>
    <row r="5" ht="34" customHeight="1">
      <c r="A5" s="45" t="inlineStr">
        <is>
          <t>per_build</t>
        </is>
      </c>
      <c r="B5" s="46" t="inlineStr">
        <is>
          <t>ทุก Build / Merge (5-15 ครั้ง/วัน)</t>
        </is>
      </c>
      <c r="C5" s="45" t="inlineStr">
        <is>
          <t>5-15</t>
        </is>
      </c>
      <c r="D5" s="45" t="n">
        <v>0.65</v>
      </c>
      <c r="E5" s="47">
        <f>'05_Params'!$B$9+'05_Params'!$B$10*D5</f>
        <v/>
      </c>
      <c r="F5" s="48" t="inlineStr">
        <is>
          <t>รันเป็นช่วง ๆ ระหว่างวันทำงาน มีโอกาสซ้อนทับปานกลาง</t>
        </is>
      </c>
    </row>
    <row r="6" ht="34" customHeight="1">
      <c r="A6" s="45" t="inlineStr">
        <is>
          <t>per_pr</t>
        </is>
      </c>
      <c r="B6" s="46" t="inlineStr">
        <is>
          <t>ทุก Pull Request / Quality Gate (3-10 ครั้ง/วัน)</t>
        </is>
      </c>
      <c r="C6" s="45" t="inlineStr">
        <is>
          <t>3-10</t>
        </is>
      </c>
      <c r="D6" s="45" t="n">
        <v>0.55</v>
      </c>
      <c r="E6" s="47">
        <f>'05_Params'!$B$9+'05_Params'!$B$10*D6</f>
        <v/>
      </c>
      <c r="F6" s="48" t="inlineStr">
        <is>
          <t>ผูกกับรอบ Review ของทีม</t>
        </is>
      </c>
    </row>
    <row r="7" ht="34" customHeight="1">
      <c r="A7" s="45" t="inlineStr">
        <is>
          <t>nightly</t>
        </is>
      </c>
      <c r="B7" s="46" t="inlineStr">
        <is>
          <t>รอบกลางคืน / วันละครั้ง (Nightly)</t>
        </is>
      </c>
      <c r="C7" s="45" t="inlineStr">
        <is>
          <t>1</t>
        </is>
      </c>
      <c r="D7" s="45" t="n">
        <v>0.35</v>
      </c>
      <c r="E7" s="47">
        <f>'05_Params'!$B$9+'05_Params'!$B$10*D7</f>
        <v/>
      </c>
      <c r="F7" s="48" t="inlineStr">
        <is>
          <t>เช่น DAST Full Scan, Dependency-Check ที่ใช้เวลานาน ย้ายไปรันหลังบ้าน</t>
        </is>
      </c>
    </row>
    <row r="8" ht="34" customHeight="1">
      <c r="A8" s="45" t="inlineStr">
        <is>
          <t>weekly</t>
        </is>
      </c>
      <c r="B8" s="46" t="inlineStr">
        <is>
          <t>รายสัปดาห์ (1-2 ครั้ง/สัปดาห์)</t>
        </is>
      </c>
      <c r="C8" s="45" t="inlineStr">
        <is>
          <t>0.15-0.3</t>
        </is>
      </c>
      <c r="D8" s="45" t="n">
        <v>0.15</v>
      </c>
      <c r="E8" s="47">
        <f>'05_Params'!$B$9+'05_Params'!$B$10*D8</f>
        <v/>
      </c>
      <c r="F8" s="48" t="inlineStr">
        <is>
          <t>เช่น Performance/Load Test รอบใหญ่, License Audit</t>
        </is>
      </c>
    </row>
    <row r="9" ht="34" customHeight="1">
      <c r="A9" s="45" t="inlineStr">
        <is>
          <t>on_demand</t>
        </is>
      </c>
      <c r="B9" s="46" t="inlineStr">
        <is>
          <t>ตามคำสั่ง / รอบ Release (ไม่กี่ครั้ง/เดือน)</t>
        </is>
      </c>
      <c r="C9" s="45" t="inlineStr">
        <is>
          <t>&lt;0.1</t>
        </is>
      </c>
      <c r="D9" s="45" t="n">
        <v>0</v>
      </c>
      <c r="E9" s="47">
        <f>'05_Params'!$B$9+'05_Params'!$B$10*D9</f>
        <v/>
      </c>
      <c r="F9" s="48" t="inlineStr">
        <is>
          <t>บวกที่ 20% ซึ่งเป็นค่าต่ำสุดของช่วงที่กำหนด เพราะยังต้องกันที่ไว้ให้รันได้</t>
        </is>
      </c>
    </row>
    <row r="11" ht="30" customHeight="1">
      <c r="A11" s="49" t="inlineStr">
        <is>
          <t>ช่วง 20-60%: เครื่องมือตามคำสั่งบวกที่ 20% (กันที่ไว้ให้รันได้) เครื่องมือ resident บนเครื่องเดียวบวกที่ 60% แล้วลดตามจำนวนเครื่องมือร่วมเครื่อง ลงถึงพื้น 20% เมื่อมี 8 ตัวขึ้นไป</t>
        </is>
      </c>
    </row>
  </sheetData>
  <mergeCells count="1"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4" customWidth="1" min="2" max="2"/>
    <col width="6" customWidth="1" min="3" max="3"/>
    <col width="11" customWidth="1" min="4" max="4"/>
    <col width="12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24" customHeight="1">
      <c r="A1" s="8" t="inlineStr">
        <is>
          <t>03 — เครื่องคำนวณกรณีเครื่องเดียวแชร์หลายเครื่องมือ (Co-location Input)</t>
        </is>
      </c>
      <c r="C1" s="3" t="inlineStr">
        <is>
          <t>ใส่ 1 ในคอลัมน์ VM ที่ต้องการติดตั้งเครื่องมือนั้น (0 หรือว่าง = ไม่ติดตั้ง) แล้วดูผลที่ชีท 04 · ค่าเริ่มต้นคือผังอ้างอิง 6 เครื่องสำหรับภาครัฐ — ผังแบบอื่นดูที่ชีท 10</t>
        </is>
      </c>
      <c r="T1" s="50" t="inlineStr">
        <is>
          <t>EDGE-01</t>
        </is>
      </c>
      <c r="U1" s="50" t="inlineStr">
        <is>
          <t>CI-CONTROL-01</t>
        </is>
      </c>
      <c r="V1" s="50" t="inlineStr">
        <is>
          <t>BUILD-AGENT-01</t>
        </is>
      </c>
      <c r="W1" s="50" t="inlineStr">
        <is>
          <t>SEC-TEST-01</t>
        </is>
      </c>
      <c r="X1" s="50" t="inlineStr">
        <is>
          <t>STORE-LOG-01</t>
        </is>
      </c>
      <c r="Y1" s="50" t="inlineStr">
        <is>
          <t>DEPLOY-MON-01</t>
        </is>
      </c>
      <c r="Z1" s="50" t="inlineStr">
        <is>
          <t>(ว่าง) VM07</t>
        </is>
      </c>
      <c r="AA1" s="50" t="inlineStr">
        <is>
          <t>(ว่าง) VM08</t>
        </is>
      </c>
      <c r="AB1" s="50" t="inlineStr">
        <is>
          <t>(ว่าง) VM09</t>
        </is>
      </c>
      <c r="AC1" s="50" t="inlineStr">
        <is>
          <t>(ว่าง) VM10</t>
        </is>
      </c>
    </row>
    <row r="2" ht="46" customHeight="1">
      <c r="A2" s="9" t="inlineStr">
        <is>
          <t>tool_id</t>
        </is>
      </c>
      <c r="B2" s="9" t="inlineStr">
        <is>
          <t>เครื่องมือ</t>
        </is>
      </c>
      <c r="C2" s="9" t="inlineStr">
        <is>
          <t>Stage</t>
        </is>
      </c>
      <c r="D2" s="9" t="inlineStr">
        <is>
          <t>conc_group</t>
        </is>
      </c>
      <c r="E2" s="9" t="inlineStr">
        <is>
          <t>freq_id</t>
        </is>
      </c>
      <c r="F2" s="9" t="inlineStr">
        <is>
          <t>min vCPU</t>
        </is>
      </c>
      <c r="G2" s="9" t="inlineStr">
        <is>
          <t>min RAM</t>
        </is>
      </c>
      <c r="H2" s="9" t="inlineStr">
        <is>
          <t>Idle RAM</t>
        </is>
      </c>
      <c r="I2" s="9" t="inlineStr">
        <is>
          <t>Resident</t>
        </is>
      </c>
      <c r="J2" s="9" t="inlineStr">
        <is>
          <t>Install GB</t>
        </is>
      </c>
      <c r="K2" s="9" t="inlineStr">
        <is>
          <t>GB/วัน</t>
        </is>
      </c>
      <c r="L2" s="9" t="inlineStr">
        <is>
          <t>Retention</t>
        </is>
      </c>
      <c r="M2" s="9" t="inlineStr">
        <is>
          <t>Index OH</t>
        </is>
      </c>
      <c r="N2" s="9" t="inlineStr">
        <is>
          <t>Growth/ปี</t>
        </is>
      </c>
      <c r="O2" s="9" t="inlineStr">
        <is>
          <t>น้ำหนัก w</t>
        </is>
      </c>
      <c r="P2" s="9" t="inlineStr">
        <is>
          <t>Data GB @H1</t>
        </is>
      </c>
      <c r="Q2" s="9" t="inlineStr">
        <is>
          <t>Data GB @H2</t>
        </is>
      </c>
      <c r="R2" s="9" t="inlineStr">
        <is>
          <t>Data GB @H3</t>
        </is>
      </c>
      <c r="S2" s="9" t="inlineStr">
        <is>
          <t>Data GB @H4</t>
        </is>
      </c>
      <c r="T2" s="9" t="inlineStr">
        <is>
          <t>VM01</t>
        </is>
      </c>
      <c r="U2" s="9" t="inlineStr">
        <is>
          <t>VM02</t>
        </is>
      </c>
      <c r="V2" s="9" t="inlineStr">
        <is>
          <t>VM03</t>
        </is>
      </c>
      <c r="W2" s="9" t="inlineStr">
        <is>
          <t>VM04</t>
        </is>
      </c>
      <c r="X2" s="9" t="inlineStr">
        <is>
          <t>VM05</t>
        </is>
      </c>
      <c r="Y2" s="9" t="inlineStr">
        <is>
          <t>VM06</t>
        </is>
      </c>
      <c r="Z2" s="9" t="inlineStr">
        <is>
          <t>VM07</t>
        </is>
      </c>
      <c r="AA2" s="9" t="inlineStr">
        <is>
          <t>VM08</t>
        </is>
      </c>
      <c r="AB2" s="9" t="inlineStr">
        <is>
          <t>VM09</t>
        </is>
      </c>
      <c r="AC2" s="9" t="inlineStr">
        <is>
          <t>VM10</t>
        </is>
      </c>
    </row>
    <row r="3" ht="22" customHeight="1">
      <c r="A3" s="51" t="inlineStr">
        <is>
          <t>gitlab-ce</t>
        </is>
      </c>
      <c r="B3" s="52" t="inlineStr">
        <is>
          <t>GitLab Community Edition (Self-hosted Git)</t>
        </is>
      </c>
      <c r="C3" s="51" t="n">
        <v>1</v>
      </c>
      <c r="D3" s="51" t="inlineStr">
        <is>
          <t>resident</t>
        </is>
      </c>
      <c r="E3" s="51" t="inlineStr">
        <is>
          <t>resident</t>
        </is>
      </c>
      <c r="F3" s="51" t="n">
        <v>4</v>
      </c>
      <c r="G3" s="51" t="n">
        <v>8</v>
      </c>
      <c r="H3" s="51" t="n">
        <v>5</v>
      </c>
      <c r="I3" s="51" t="n">
        <v>1</v>
      </c>
      <c r="J3" s="51" t="n">
        <v>40</v>
      </c>
      <c r="K3" s="51" t="n">
        <v>0.05</v>
      </c>
      <c r="L3" s="51" t="n">
        <v>3650</v>
      </c>
      <c r="M3" s="51" t="n">
        <v>0.2</v>
      </c>
      <c r="N3" s="51" t="n">
        <v>0.25</v>
      </c>
      <c r="O3" s="53">
        <f>INDEX('02_Freq_Weight'!$E$3:$E$9,MATCH(E3,'02_Freq_Weight'!$A$3:$A$9,0))</f>
        <v/>
      </c>
      <c r="P3" s="54">
        <f>$K3*'05_Params'!$B$4*POWER(1+$N3,'05_Params'!$B$13/12)*MIN($L3,'05_Params'!$B$13*30.44)*(1+$M3)</f>
        <v/>
      </c>
      <c r="Q3" s="54">
        <f>$K3*'05_Params'!$B$4*POWER(1+$N3,'05_Params'!$B$14/12)*MIN($L3,'05_Params'!$B$14*30.44)*(1+$M3)</f>
        <v/>
      </c>
      <c r="R3" s="54">
        <f>$K3*'05_Params'!$B$4*POWER(1+$N3,'05_Params'!$B$15/12)*MIN($L3,'05_Params'!$B$15*30.44)*(1+$M3)</f>
        <v/>
      </c>
      <c r="S3" s="54">
        <f>$K3*'05_Params'!$B$4*POWER(1+$N3,'05_Params'!$B$16/12)*MIN($L3,'05_Params'!$B$16*30.44)*(1+$M3)</f>
        <v/>
      </c>
      <c r="T3" s="55" t="n">
        <v>0</v>
      </c>
      <c r="U3" s="55" t="n">
        <v>0</v>
      </c>
      <c r="V3" s="55" t="n">
        <v>0</v>
      </c>
      <c r="W3" s="55" t="n">
        <v>0</v>
      </c>
      <c r="X3" s="55" t="n">
        <v>0</v>
      </c>
      <c r="Y3" s="55" t="n">
        <v>0</v>
      </c>
      <c r="Z3" s="55" t="n">
        <v>0</v>
      </c>
      <c r="AA3" s="55" t="n">
        <v>0</v>
      </c>
      <c r="AB3" s="55" t="n">
        <v>0</v>
      </c>
      <c r="AC3" s="55" t="n">
        <v>0</v>
      </c>
    </row>
    <row r="4" ht="22" customHeight="1">
      <c r="A4" s="51" t="inlineStr">
        <is>
          <t>gitea</t>
        </is>
      </c>
      <c r="B4" s="52" t="inlineStr">
        <is>
          <t>Gitea / Forgejo (Lightweight Git)</t>
        </is>
      </c>
      <c r="C4" s="51" t="n">
        <v>1</v>
      </c>
      <c r="D4" s="51" t="inlineStr">
        <is>
          <t>resident</t>
        </is>
      </c>
      <c r="E4" s="51" t="inlineStr">
        <is>
          <t>resident</t>
        </is>
      </c>
      <c r="F4" s="51" t="n">
        <v>1</v>
      </c>
      <c r="G4" s="51" t="n">
        <v>1</v>
      </c>
      <c r="H4" s="51" t="n">
        <v>0.5</v>
      </c>
      <c r="I4" s="51" t="n">
        <v>1</v>
      </c>
      <c r="J4" s="51" t="n">
        <v>10</v>
      </c>
      <c r="K4" s="51" t="n">
        <v>0.02</v>
      </c>
      <c r="L4" s="51" t="n">
        <v>3650</v>
      </c>
      <c r="M4" s="51" t="n">
        <v>0.1</v>
      </c>
      <c r="N4" s="51" t="n">
        <v>0.25</v>
      </c>
      <c r="O4" s="53">
        <f>INDEX('02_Freq_Weight'!$E$3:$E$9,MATCH(E4,'02_Freq_Weight'!$A$3:$A$9,0))</f>
        <v/>
      </c>
      <c r="P4" s="54">
        <f>$K4*'05_Params'!$B$4*POWER(1+$N4,'05_Params'!$B$13/12)*MIN($L4,'05_Params'!$B$13*30.44)*(1+$M4)</f>
        <v/>
      </c>
      <c r="Q4" s="54">
        <f>$K4*'05_Params'!$B$4*POWER(1+$N4,'05_Params'!$B$14/12)*MIN($L4,'05_Params'!$B$14*30.44)*(1+$M4)</f>
        <v/>
      </c>
      <c r="R4" s="54">
        <f>$K4*'05_Params'!$B$4*POWER(1+$N4,'05_Params'!$B$15/12)*MIN($L4,'05_Params'!$B$15*30.44)*(1+$M4)</f>
        <v/>
      </c>
      <c r="S4" s="54">
        <f>$K4*'05_Params'!$B$4*POWER(1+$N4,'05_Params'!$B$16/12)*MIN($L4,'05_Params'!$B$16*30.44)*(1+$M4)</f>
        <v/>
      </c>
      <c r="T4" s="55" t="n">
        <v>0</v>
      </c>
      <c r="U4" s="56" t="n">
        <v>1</v>
      </c>
      <c r="V4" s="55" t="n">
        <v>0</v>
      </c>
      <c r="W4" s="55" t="n">
        <v>0</v>
      </c>
      <c r="X4" s="55" t="n">
        <v>0</v>
      </c>
      <c r="Y4" s="55" t="n">
        <v>0</v>
      </c>
      <c r="Z4" s="55" t="n">
        <v>0</v>
      </c>
      <c r="AA4" s="55" t="n">
        <v>0</v>
      </c>
      <c r="AB4" s="55" t="n">
        <v>0</v>
      </c>
      <c r="AC4" s="55" t="n">
        <v>0</v>
      </c>
    </row>
    <row r="5" ht="22" customHeight="1">
      <c r="A5" s="51" t="inlineStr">
        <is>
          <t>github-actions-runner</t>
        </is>
      </c>
      <c r="B5" s="52" t="inlineStr">
        <is>
          <t>GitHub Actions Self-hosted Runner</t>
        </is>
      </c>
      <c r="C5" s="51" t="n">
        <v>1</v>
      </c>
      <c r="D5" s="51" t="inlineStr">
        <is>
          <t>ci_seq</t>
        </is>
      </c>
      <c r="E5" s="51" t="inlineStr">
        <is>
          <t>per_commit</t>
        </is>
      </c>
      <c r="F5" s="51" t="n">
        <v>2</v>
      </c>
      <c r="G5" s="51" t="n">
        <v>4</v>
      </c>
      <c r="H5" s="51" t="n">
        <v>0.2</v>
      </c>
      <c r="I5" s="51" t="n">
        <v>0</v>
      </c>
      <c r="J5" s="51" t="n">
        <v>60</v>
      </c>
      <c r="K5" s="51" t="n">
        <v>0.6</v>
      </c>
      <c r="L5" s="51" t="n">
        <v>30</v>
      </c>
      <c r="M5" s="51" t="n">
        <v>0.05</v>
      </c>
      <c r="N5" s="51" t="n">
        <v>0.2</v>
      </c>
      <c r="O5" s="53">
        <f>INDEX('02_Freq_Weight'!$E$3:$E$9,MATCH(E5,'02_Freq_Weight'!$A$3:$A$9,0))</f>
        <v/>
      </c>
      <c r="P5" s="54">
        <f>$K5*'05_Params'!$B$4*POWER(1+$N5,'05_Params'!$B$13/12)*MIN($L5,'05_Params'!$B$13*30.44)*(1+$M5)</f>
        <v/>
      </c>
      <c r="Q5" s="54">
        <f>$K5*'05_Params'!$B$4*POWER(1+$N5,'05_Params'!$B$14/12)*MIN($L5,'05_Params'!$B$14*30.44)*(1+$M5)</f>
        <v/>
      </c>
      <c r="R5" s="54">
        <f>$K5*'05_Params'!$B$4*POWER(1+$N5,'05_Params'!$B$15/12)*MIN($L5,'05_Params'!$B$15*30.44)*(1+$M5)</f>
        <v/>
      </c>
      <c r="S5" s="54">
        <f>$K5*'05_Params'!$B$4*POWER(1+$N5,'05_Params'!$B$16/12)*MIN($L5,'05_Params'!$B$16*30.44)*(1+$M5)</f>
        <v/>
      </c>
      <c r="T5" s="55" t="n">
        <v>0</v>
      </c>
      <c r="U5" s="55" t="n">
        <v>0</v>
      </c>
      <c r="V5" s="55" t="n">
        <v>0</v>
      </c>
      <c r="W5" s="55" t="n">
        <v>0</v>
      </c>
      <c r="X5" s="55" t="n">
        <v>0</v>
      </c>
      <c r="Y5" s="55" t="n">
        <v>0</v>
      </c>
      <c r="Z5" s="55" t="n">
        <v>0</v>
      </c>
      <c r="AA5" s="55" t="n">
        <v>0</v>
      </c>
      <c r="AB5" s="55" t="n">
        <v>0</v>
      </c>
      <c r="AC5" s="55" t="n">
        <v>0</v>
      </c>
    </row>
    <row r="6" ht="22" customHeight="1">
      <c r="A6" s="51" t="inlineStr">
        <is>
          <t>jenkins-master</t>
        </is>
      </c>
      <c r="B6" s="52" t="inlineStr">
        <is>
          <t>Jenkins Master / Controller</t>
        </is>
      </c>
      <c r="C6" s="51" t="n">
        <v>1</v>
      </c>
      <c r="D6" s="51" t="inlineStr">
        <is>
          <t>resident</t>
        </is>
      </c>
      <c r="E6" s="51" t="inlineStr">
        <is>
          <t>resident</t>
        </is>
      </c>
      <c r="F6" s="51" t="n">
        <v>2</v>
      </c>
      <c r="G6" s="51" t="n">
        <v>4</v>
      </c>
      <c r="H6" s="51" t="n">
        <v>2</v>
      </c>
      <c r="I6" s="51" t="n">
        <v>1</v>
      </c>
      <c r="J6" s="51" t="n">
        <v>20</v>
      </c>
      <c r="K6" s="51" t="n">
        <v>0.15</v>
      </c>
      <c r="L6" s="51" t="n">
        <v>180</v>
      </c>
      <c r="M6" s="51" t="n">
        <v>0.1</v>
      </c>
      <c r="N6" s="51" t="n">
        <v>0.15</v>
      </c>
      <c r="O6" s="53">
        <f>INDEX('02_Freq_Weight'!$E$3:$E$9,MATCH(E6,'02_Freq_Weight'!$A$3:$A$9,0))</f>
        <v/>
      </c>
      <c r="P6" s="54">
        <f>$K6*'05_Params'!$B$4*POWER(1+$N6,'05_Params'!$B$13/12)*MIN($L6,'05_Params'!$B$13*30.44)*(1+$M6)</f>
        <v/>
      </c>
      <c r="Q6" s="54">
        <f>$K6*'05_Params'!$B$4*POWER(1+$N6,'05_Params'!$B$14/12)*MIN($L6,'05_Params'!$B$14*30.44)*(1+$M6)</f>
        <v/>
      </c>
      <c r="R6" s="54">
        <f>$K6*'05_Params'!$B$4*POWER(1+$N6,'05_Params'!$B$15/12)*MIN($L6,'05_Params'!$B$15*30.44)*(1+$M6)</f>
        <v/>
      </c>
      <c r="S6" s="54">
        <f>$K6*'05_Params'!$B$4*POWER(1+$N6,'05_Params'!$B$16/12)*MIN($L6,'05_Params'!$B$16*30.44)*(1+$M6)</f>
        <v/>
      </c>
      <c r="T6" s="55" t="n">
        <v>0</v>
      </c>
      <c r="U6" s="56" t="n">
        <v>1</v>
      </c>
      <c r="V6" s="55" t="n">
        <v>0</v>
      </c>
      <c r="W6" s="55" t="n">
        <v>0</v>
      </c>
      <c r="X6" s="55" t="n">
        <v>0</v>
      </c>
      <c r="Y6" s="55" t="n">
        <v>0</v>
      </c>
      <c r="Z6" s="55" t="n">
        <v>0</v>
      </c>
      <c r="AA6" s="55" t="n">
        <v>0</v>
      </c>
      <c r="AB6" s="55" t="n">
        <v>0</v>
      </c>
      <c r="AC6" s="55" t="n">
        <v>0</v>
      </c>
    </row>
    <row r="7" ht="22" customHeight="1">
      <c r="A7" s="51" t="inlineStr">
        <is>
          <t>jenkins-agent</t>
        </is>
      </c>
      <c r="B7" s="52" t="inlineStr">
        <is>
          <t>Jenkins Agent / Build Executor (ต่อ 1 Executor)</t>
        </is>
      </c>
      <c r="C7" s="51" t="n">
        <v>1</v>
      </c>
      <c r="D7" s="51" t="inlineStr">
        <is>
          <t>resident</t>
        </is>
      </c>
      <c r="E7" s="51" t="inlineStr">
        <is>
          <t>per_commit</t>
        </is>
      </c>
      <c r="F7" s="51" t="n">
        <v>2</v>
      </c>
      <c r="G7" s="51" t="n">
        <v>4</v>
      </c>
      <c r="H7" s="51" t="n">
        <v>0.3</v>
      </c>
      <c r="I7" s="51" t="n">
        <v>0</v>
      </c>
      <c r="J7" s="51" t="n">
        <v>60</v>
      </c>
      <c r="K7" s="51" t="n">
        <v>0.8</v>
      </c>
      <c r="L7" s="51" t="n">
        <v>7</v>
      </c>
      <c r="M7" s="51" t="n">
        <v>0.05</v>
      </c>
      <c r="N7" s="51" t="n">
        <v>0.2</v>
      </c>
      <c r="O7" s="53">
        <f>INDEX('02_Freq_Weight'!$E$3:$E$9,MATCH(E7,'02_Freq_Weight'!$A$3:$A$9,0))</f>
        <v/>
      </c>
      <c r="P7" s="54">
        <f>$K7*'05_Params'!$B$4*POWER(1+$N7,'05_Params'!$B$13/12)*MIN($L7,'05_Params'!$B$13*30.44)*(1+$M7)</f>
        <v/>
      </c>
      <c r="Q7" s="54">
        <f>$K7*'05_Params'!$B$4*POWER(1+$N7,'05_Params'!$B$14/12)*MIN($L7,'05_Params'!$B$14*30.44)*(1+$M7)</f>
        <v/>
      </c>
      <c r="R7" s="54">
        <f>$K7*'05_Params'!$B$4*POWER(1+$N7,'05_Params'!$B$15/12)*MIN($L7,'05_Params'!$B$15*30.44)*(1+$M7)</f>
        <v/>
      </c>
      <c r="S7" s="54">
        <f>$K7*'05_Params'!$B$4*POWER(1+$N7,'05_Params'!$B$16/12)*MIN($L7,'05_Params'!$B$16*30.44)*(1+$M7)</f>
        <v/>
      </c>
      <c r="T7" s="55" t="n">
        <v>0</v>
      </c>
      <c r="U7" s="55" t="n">
        <v>0</v>
      </c>
      <c r="V7" s="56" t="n">
        <v>1</v>
      </c>
      <c r="W7" s="55" t="n">
        <v>0</v>
      </c>
      <c r="X7" s="55" t="n">
        <v>0</v>
      </c>
      <c r="Y7" s="55" t="n">
        <v>0</v>
      </c>
      <c r="Z7" s="55" t="n">
        <v>0</v>
      </c>
      <c r="AA7" s="55" t="n">
        <v>0</v>
      </c>
      <c r="AB7" s="55" t="n">
        <v>0</v>
      </c>
      <c r="AC7" s="55" t="n">
        <v>0</v>
      </c>
    </row>
    <row r="8" ht="22" customHeight="1">
      <c r="A8" s="51" t="inlineStr">
        <is>
          <t>argo-workflows</t>
        </is>
      </c>
      <c r="B8" s="52" t="inlineStr">
        <is>
          <t>Argo Workflows (CNCF Graduated)</t>
        </is>
      </c>
      <c r="C8" s="51" t="n">
        <v>1</v>
      </c>
      <c r="D8" s="51" t="inlineStr">
        <is>
          <t>resident</t>
        </is>
      </c>
      <c r="E8" s="51" t="inlineStr">
        <is>
          <t>resident</t>
        </is>
      </c>
      <c r="F8" s="51" t="n">
        <v>1</v>
      </c>
      <c r="G8" s="51" t="n">
        <v>2</v>
      </c>
      <c r="H8" s="51" t="n">
        <v>1</v>
      </c>
      <c r="I8" s="51" t="n">
        <v>1</v>
      </c>
      <c r="J8" s="51" t="n">
        <v>10</v>
      </c>
      <c r="K8" s="51" t="n">
        <v>0.15</v>
      </c>
      <c r="L8" s="51" t="n">
        <v>90</v>
      </c>
      <c r="M8" s="51" t="n">
        <v>0.1</v>
      </c>
      <c r="N8" s="51" t="n">
        <v>0.2</v>
      </c>
      <c r="O8" s="53">
        <f>INDEX('02_Freq_Weight'!$E$3:$E$9,MATCH(E8,'02_Freq_Weight'!$A$3:$A$9,0))</f>
        <v/>
      </c>
      <c r="P8" s="54">
        <f>$K8*'05_Params'!$B$4*POWER(1+$N8,'05_Params'!$B$13/12)*MIN($L8,'05_Params'!$B$13*30.44)*(1+$M8)</f>
        <v/>
      </c>
      <c r="Q8" s="54">
        <f>$K8*'05_Params'!$B$4*POWER(1+$N8,'05_Params'!$B$14/12)*MIN($L8,'05_Params'!$B$14*30.44)*(1+$M8)</f>
        <v/>
      </c>
      <c r="R8" s="54">
        <f>$K8*'05_Params'!$B$4*POWER(1+$N8,'05_Params'!$B$15/12)*MIN($L8,'05_Params'!$B$15*30.44)*(1+$M8)</f>
        <v/>
      </c>
      <c r="S8" s="54">
        <f>$K8*'05_Params'!$B$4*POWER(1+$N8,'05_Params'!$B$16/12)*MIN($L8,'05_Params'!$B$16*30.44)*(1+$M8)</f>
        <v/>
      </c>
      <c r="T8" s="55" t="n">
        <v>0</v>
      </c>
      <c r="U8" s="55" t="n">
        <v>0</v>
      </c>
      <c r="V8" s="55" t="n">
        <v>0</v>
      </c>
      <c r="W8" s="55" t="n">
        <v>0</v>
      </c>
      <c r="X8" s="55" t="n">
        <v>0</v>
      </c>
      <c r="Y8" s="55" t="n">
        <v>0</v>
      </c>
      <c r="Z8" s="55" t="n">
        <v>0</v>
      </c>
      <c r="AA8" s="55" t="n">
        <v>0</v>
      </c>
      <c r="AB8" s="55" t="n">
        <v>0</v>
      </c>
      <c r="AC8" s="55" t="n">
        <v>0</v>
      </c>
    </row>
    <row r="9" ht="22" customHeight="1">
      <c r="A9" s="51" t="inlineStr">
        <is>
          <t>opa-conftest</t>
        </is>
      </c>
      <c r="B9" s="52" t="inlineStr">
        <is>
          <t>Open Policy Agent / Conftest (Policy-as-Code Gate)</t>
        </is>
      </c>
      <c r="C9" s="51" t="n">
        <v>1</v>
      </c>
      <c r="D9" s="51" t="inlineStr">
        <is>
          <t>ci_seq</t>
        </is>
      </c>
      <c r="E9" s="51" t="inlineStr">
        <is>
          <t>per_pr</t>
        </is>
      </c>
      <c r="F9" s="51" t="n">
        <v>1</v>
      </c>
      <c r="G9" s="51" t="n">
        <v>1</v>
      </c>
      <c r="H9" s="51" t="n">
        <v>0</v>
      </c>
      <c r="I9" s="51" t="n">
        <v>0</v>
      </c>
      <c r="J9" s="51" t="n">
        <v>5</v>
      </c>
      <c r="K9" s="51" t="n">
        <v>0.01</v>
      </c>
      <c r="L9" s="51" t="n">
        <v>90</v>
      </c>
      <c r="M9" s="51" t="n">
        <v>0.05</v>
      </c>
      <c r="N9" s="51" t="n">
        <v>0.1</v>
      </c>
      <c r="O9" s="53">
        <f>INDEX('02_Freq_Weight'!$E$3:$E$9,MATCH(E9,'02_Freq_Weight'!$A$3:$A$9,0))</f>
        <v/>
      </c>
      <c r="P9" s="54">
        <f>$K9*'05_Params'!$B$4*POWER(1+$N9,'05_Params'!$B$13/12)*MIN($L9,'05_Params'!$B$13*30.44)*(1+$M9)</f>
        <v/>
      </c>
      <c r="Q9" s="54">
        <f>$K9*'05_Params'!$B$4*POWER(1+$N9,'05_Params'!$B$14/12)*MIN($L9,'05_Params'!$B$14*30.44)*(1+$M9)</f>
        <v/>
      </c>
      <c r="R9" s="54">
        <f>$K9*'05_Params'!$B$4*POWER(1+$N9,'05_Params'!$B$15/12)*MIN($L9,'05_Params'!$B$15*30.44)*(1+$M9)</f>
        <v/>
      </c>
      <c r="S9" s="54">
        <f>$K9*'05_Params'!$B$4*POWER(1+$N9,'05_Params'!$B$16/12)*MIN($L9,'05_Params'!$B$16*30.44)*(1+$M9)</f>
        <v/>
      </c>
      <c r="T9" s="55" t="n">
        <v>0</v>
      </c>
      <c r="U9" s="56" t="n">
        <v>1</v>
      </c>
      <c r="V9" s="55" t="n">
        <v>0</v>
      </c>
      <c r="W9" s="55" t="n">
        <v>0</v>
      </c>
      <c r="X9" s="55" t="n">
        <v>0</v>
      </c>
      <c r="Y9" s="55" t="n">
        <v>0</v>
      </c>
      <c r="Z9" s="55" t="n">
        <v>0</v>
      </c>
      <c r="AA9" s="55" t="n">
        <v>0</v>
      </c>
      <c r="AB9" s="55" t="n">
        <v>0</v>
      </c>
      <c r="AC9" s="55" t="n">
        <v>0</v>
      </c>
    </row>
    <row r="10" ht="22" customHeight="1">
      <c r="A10" s="51" t="inlineStr">
        <is>
          <t>nginx-gateway</t>
        </is>
      </c>
      <c r="B10" s="52" t="inlineStr">
        <is>
          <t>Nginx (Reverse Proxy / Webhook Relay)</t>
        </is>
      </c>
      <c r="C10" s="51" t="n">
        <v>1</v>
      </c>
      <c r="D10" s="51" t="inlineStr">
        <is>
          <t>resident</t>
        </is>
      </c>
      <c r="E10" s="51" t="inlineStr">
        <is>
          <t>resident</t>
        </is>
      </c>
      <c r="F10" s="51" t="n">
        <v>1</v>
      </c>
      <c r="G10" s="51" t="n">
        <v>1</v>
      </c>
      <c r="H10" s="51" t="n">
        <v>0.3</v>
      </c>
      <c r="I10" s="51" t="n">
        <v>1</v>
      </c>
      <c r="J10" s="51" t="n">
        <v>10</v>
      </c>
      <c r="K10" s="51" t="n">
        <v>0.1</v>
      </c>
      <c r="L10" s="51" t="n">
        <v>90</v>
      </c>
      <c r="M10" s="51" t="n">
        <v>0.1</v>
      </c>
      <c r="N10" s="51" t="n">
        <v>0.2</v>
      </c>
      <c r="O10" s="53">
        <f>INDEX('02_Freq_Weight'!$E$3:$E$9,MATCH(E10,'02_Freq_Weight'!$A$3:$A$9,0))</f>
        <v/>
      </c>
      <c r="P10" s="54">
        <f>$K10*'05_Params'!$B$4*POWER(1+$N10,'05_Params'!$B$13/12)*MIN($L10,'05_Params'!$B$13*30.44)*(1+$M10)</f>
        <v/>
      </c>
      <c r="Q10" s="54">
        <f>$K10*'05_Params'!$B$4*POWER(1+$N10,'05_Params'!$B$14/12)*MIN($L10,'05_Params'!$B$14*30.44)*(1+$M10)</f>
        <v/>
      </c>
      <c r="R10" s="54">
        <f>$K10*'05_Params'!$B$4*POWER(1+$N10,'05_Params'!$B$15/12)*MIN($L10,'05_Params'!$B$15*30.44)*(1+$M10)</f>
        <v/>
      </c>
      <c r="S10" s="54">
        <f>$K10*'05_Params'!$B$4*POWER(1+$N10,'05_Params'!$B$16/12)*MIN($L10,'05_Params'!$B$16*30.44)*(1+$M10)</f>
        <v/>
      </c>
      <c r="T10" s="56" t="n">
        <v>1</v>
      </c>
      <c r="U10" s="55" t="n">
        <v>0</v>
      </c>
      <c r="V10" s="55" t="n">
        <v>0</v>
      </c>
      <c r="W10" s="55" t="n">
        <v>0</v>
      </c>
      <c r="X10" s="55" t="n">
        <v>0</v>
      </c>
      <c r="Y10" s="55" t="n">
        <v>0</v>
      </c>
      <c r="Z10" s="55" t="n">
        <v>0</v>
      </c>
      <c r="AA10" s="55" t="n">
        <v>0</v>
      </c>
      <c r="AB10" s="55" t="n">
        <v>0</v>
      </c>
      <c r="AC10" s="55" t="n">
        <v>0</v>
      </c>
    </row>
    <row r="11" ht="22" customHeight="1">
      <c r="A11" s="57" t="inlineStr">
        <is>
          <t>sonarqube</t>
        </is>
      </c>
      <c r="B11" s="58" t="inlineStr">
        <is>
          <t>SonarQube Community Edition</t>
        </is>
      </c>
      <c r="C11" s="57" t="n">
        <v>2</v>
      </c>
      <c r="D11" s="57" t="inlineStr">
        <is>
          <t>resident</t>
        </is>
      </c>
      <c r="E11" s="57" t="inlineStr">
        <is>
          <t>resident</t>
        </is>
      </c>
      <c r="F11" s="57" t="n">
        <v>2</v>
      </c>
      <c r="G11" s="57" t="n">
        <v>4</v>
      </c>
      <c r="H11" s="57" t="n">
        <v>3.5</v>
      </c>
      <c r="I11" s="57" t="n">
        <v>1</v>
      </c>
      <c r="J11" s="57" t="n">
        <v>30</v>
      </c>
      <c r="K11" s="57" t="n">
        <v>0.1</v>
      </c>
      <c r="L11" s="57" t="n">
        <v>365</v>
      </c>
      <c r="M11" s="57" t="n">
        <v>0.3</v>
      </c>
      <c r="N11" s="57" t="n">
        <v>0.2</v>
      </c>
      <c r="O11" s="59">
        <f>INDEX('02_Freq_Weight'!$E$3:$E$9,MATCH(E11,'02_Freq_Weight'!$A$3:$A$9,0))</f>
        <v/>
      </c>
      <c r="P11" s="60">
        <f>$K11*'05_Params'!$B$4*POWER(1+$N11,'05_Params'!$B$13/12)*MIN($L11,'05_Params'!$B$13*30.44)*(1+$M11)</f>
        <v/>
      </c>
      <c r="Q11" s="60">
        <f>$K11*'05_Params'!$B$4*POWER(1+$N11,'05_Params'!$B$14/12)*MIN($L11,'05_Params'!$B$14*30.44)*(1+$M11)</f>
        <v/>
      </c>
      <c r="R11" s="60">
        <f>$K11*'05_Params'!$B$4*POWER(1+$N11,'05_Params'!$B$15/12)*MIN($L11,'05_Params'!$B$15*30.44)*(1+$M11)</f>
        <v/>
      </c>
      <c r="S11" s="60">
        <f>$K11*'05_Params'!$B$4*POWER(1+$N11,'05_Params'!$B$16/12)*MIN($L11,'05_Params'!$B$16*30.44)*(1+$M11)</f>
        <v/>
      </c>
      <c r="T11" s="55" t="n">
        <v>0</v>
      </c>
      <c r="U11" s="56" t="n">
        <v>1</v>
      </c>
      <c r="V11" s="55" t="n">
        <v>0</v>
      </c>
      <c r="W11" s="55" t="n">
        <v>0</v>
      </c>
      <c r="X11" s="55" t="n">
        <v>0</v>
      </c>
      <c r="Y11" s="55" t="n">
        <v>0</v>
      </c>
      <c r="Z11" s="55" t="n">
        <v>0</v>
      </c>
      <c r="AA11" s="55" t="n">
        <v>0</v>
      </c>
      <c r="AB11" s="55" t="n">
        <v>0</v>
      </c>
      <c r="AC11" s="55" t="n">
        <v>0</v>
      </c>
    </row>
    <row r="12" ht="22" customHeight="1">
      <c r="A12" s="57" t="inlineStr">
        <is>
          <t>postgresql-tools</t>
        </is>
      </c>
      <c r="B12" s="58" t="inlineStr">
        <is>
          <t>PostgreSQL (ฐานข้อมูลของเครื่องมือ CI/CD)</t>
        </is>
      </c>
      <c r="C12" s="57" t="n">
        <v>2</v>
      </c>
      <c r="D12" s="57" t="inlineStr">
        <is>
          <t>resident</t>
        </is>
      </c>
      <c r="E12" s="57" t="inlineStr">
        <is>
          <t>resident</t>
        </is>
      </c>
      <c r="F12" s="57" t="n">
        <v>2</v>
      </c>
      <c r="G12" s="57" t="n">
        <v>4</v>
      </c>
      <c r="H12" s="57" t="n">
        <v>3</v>
      </c>
      <c r="I12" s="57" t="n">
        <v>1</v>
      </c>
      <c r="J12" s="57" t="n">
        <v>20</v>
      </c>
      <c r="K12" s="57" t="n">
        <v>0.05</v>
      </c>
      <c r="L12" s="57" t="n">
        <v>2555</v>
      </c>
      <c r="M12" s="57" t="n">
        <v>0.35</v>
      </c>
      <c r="N12" s="57" t="n">
        <v>0.2</v>
      </c>
      <c r="O12" s="59">
        <f>INDEX('02_Freq_Weight'!$E$3:$E$9,MATCH(E12,'02_Freq_Weight'!$A$3:$A$9,0))</f>
        <v/>
      </c>
      <c r="P12" s="60">
        <f>$K12*'05_Params'!$B$4*POWER(1+$N12,'05_Params'!$B$13/12)*MIN($L12,'05_Params'!$B$13*30.44)*(1+$M12)</f>
        <v/>
      </c>
      <c r="Q12" s="60">
        <f>$K12*'05_Params'!$B$4*POWER(1+$N12,'05_Params'!$B$14/12)*MIN($L12,'05_Params'!$B$14*30.44)*(1+$M12)</f>
        <v/>
      </c>
      <c r="R12" s="60">
        <f>$K12*'05_Params'!$B$4*POWER(1+$N12,'05_Params'!$B$15/12)*MIN($L12,'05_Params'!$B$15*30.44)*(1+$M12)</f>
        <v/>
      </c>
      <c r="S12" s="60">
        <f>$K12*'05_Params'!$B$4*POWER(1+$N12,'05_Params'!$B$16/12)*MIN($L12,'05_Params'!$B$16*30.44)*(1+$M12)</f>
        <v/>
      </c>
      <c r="T12" s="55" t="n">
        <v>0</v>
      </c>
      <c r="U12" s="56" t="n">
        <v>1</v>
      </c>
      <c r="V12" s="55" t="n">
        <v>0</v>
      </c>
      <c r="W12" s="55" t="n">
        <v>0</v>
      </c>
      <c r="X12" s="55" t="n">
        <v>0</v>
      </c>
      <c r="Y12" s="55" t="n">
        <v>0</v>
      </c>
      <c r="Z12" s="55" t="n">
        <v>0</v>
      </c>
      <c r="AA12" s="55" t="n">
        <v>0</v>
      </c>
      <c r="AB12" s="55" t="n">
        <v>0</v>
      </c>
      <c r="AC12" s="55" t="n">
        <v>0</v>
      </c>
    </row>
    <row r="13" ht="22" customHeight="1">
      <c r="A13" s="57" t="inlineStr">
        <is>
          <t>semgrep</t>
        </is>
      </c>
      <c r="B13" s="58" t="inlineStr">
        <is>
          <t>Semgrep (SAST แบบ Rule-based)</t>
        </is>
      </c>
      <c r="C13" s="57" t="n">
        <v>2</v>
      </c>
      <c r="D13" s="57" t="inlineStr">
        <is>
          <t>ci_seq</t>
        </is>
      </c>
      <c r="E13" s="57" t="inlineStr">
        <is>
          <t>per_commit</t>
        </is>
      </c>
      <c r="F13" s="57" t="n">
        <v>2</v>
      </c>
      <c r="G13" s="57" t="n">
        <v>4</v>
      </c>
      <c r="H13" s="57" t="n">
        <v>0</v>
      </c>
      <c r="I13" s="57" t="n">
        <v>0</v>
      </c>
      <c r="J13" s="57" t="n">
        <v>5</v>
      </c>
      <c r="K13" s="57" t="n">
        <v>0.02</v>
      </c>
      <c r="L13" s="57" t="n">
        <v>180</v>
      </c>
      <c r="M13" s="57" t="n">
        <v>0.05</v>
      </c>
      <c r="N13" s="57" t="n">
        <v>0.15</v>
      </c>
      <c r="O13" s="59">
        <f>INDEX('02_Freq_Weight'!$E$3:$E$9,MATCH(E13,'02_Freq_Weight'!$A$3:$A$9,0))</f>
        <v/>
      </c>
      <c r="P13" s="60">
        <f>$K13*'05_Params'!$B$4*POWER(1+$N13,'05_Params'!$B$13/12)*MIN($L13,'05_Params'!$B$13*30.44)*(1+$M13)</f>
        <v/>
      </c>
      <c r="Q13" s="60">
        <f>$K13*'05_Params'!$B$4*POWER(1+$N13,'05_Params'!$B$14/12)*MIN($L13,'05_Params'!$B$14*30.44)*(1+$M13)</f>
        <v/>
      </c>
      <c r="R13" s="60">
        <f>$K13*'05_Params'!$B$4*POWER(1+$N13,'05_Params'!$B$15/12)*MIN($L13,'05_Params'!$B$15*30.44)*(1+$M13)</f>
        <v/>
      </c>
      <c r="S13" s="60">
        <f>$K13*'05_Params'!$B$4*POWER(1+$N13,'05_Params'!$B$16/12)*MIN($L13,'05_Params'!$B$16*30.44)*(1+$M13)</f>
        <v/>
      </c>
      <c r="T13" s="55" t="n">
        <v>0</v>
      </c>
      <c r="U13" s="55" t="n">
        <v>0</v>
      </c>
      <c r="V13" s="56" t="n">
        <v>1</v>
      </c>
      <c r="W13" s="55" t="n">
        <v>0</v>
      </c>
      <c r="X13" s="55" t="n">
        <v>0</v>
      </c>
      <c r="Y13" s="55" t="n">
        <v>0</v>
      </c>
      <c r="Z13" s="55" t="n">
        <v>0</v>
      </c>
      <c r="AA13" s="55" t="n">
        <v>0</v>
      </c>
      <c r="AB13" s="55" t="n">
        <v>0</v>
      </c>
      <c r="AC13" s="55" t="n">
        <v>0</v>
      </c>
    </row>
    <row r="14" ht="22" customHeight="1">
      <c r="A14" s="57" t="inlineStr">
        <is>
          <t>gitleaks</t>
        </is>
      </c>
      <c r="B14" s="58" t="inlineStr">
        <is>
          <t>GitLeaks / TruffleHog (Secret Scanning)</t>
        </is>
      </c>
      <c r="C14" s="57" t="n">
        <v>2</v>
      </c>
      <c r="D14" s="57" t="inlineStr">
        <is>
          <t>ci_seq</t>
        </is>
      </c>
      <c r="E14" s="57" t="inlineStr">
        <is>
          <t>per_commit</t>
        </is>
      </c>
      <c r="F14" s="57" t="n">
        <v>1</v>
      </c>
      <c r="G14" s="57" t="n">
        <v>2</v>
      </c>
      <c r="H14" s="57" t="n">
        <v>0</v>
      </c>
      <c r="I14" s="57" t="n">
        <v>0</v>
      </c>
      <c r="J14" s="57" t="n">
        <v>3</v>
      </c>
      <c r="K14" s="57" t="n">
        <v>0.01</v>
      </c>
      <c r="L14" s="57" t="n">
        <v>365</v>
      </c>
      <c r="M14" s="57" t="n">
        <v>0.05</v>
      </c>
      <c r="N14" s="57" t="n">
        <v>0.1</v>
      </c>
      <c r="O14" s="59">
        <f>INDEX('02_Freq_Weight'!$E$3:$E$9,MATCH(E14,'02_Freq_Weight'!$A$3:$A$9,0))</f>
        <v/>
      </c>
      <c r="P14" s="60">
        <f>$K14*'05_Params'!$B$4*POWER(1+$N14,'05_Params'!$B$13/12)*MIN($L14,'05_Params'!$B$13*30.44)*(1+$M14)</f>
        <v/>
      </c>
      <c r="Q14" s="60">
        <f>$K14*'05_Params'!$B$4*POWER(1+$N14,'05_Params'!$B$14/12)*MIN($L14,'05_Params'!$B$14*30.44)*(1+$M14)</f>
        <v/>
      </c>
      <c r="R14" s="60">
        <f>$K14*'05_Params'!$B$4*POWER(1+$N14,'05_Params'!$B$15/12)*MIN($L14,'05_Params'!$B$15*30.44)*(1+$M14)</f>
        <v/>
      </c>
      <c r="S14" s="60">
        <f>$K14*'05_Params'!$B$4*POWER(1+$N14,'05_Params'!$B$16/12)*MIN($L14,'05_Params'!$B$16*30.44)*(1+$M14)</f>
        <v/>
      </c>
      <c r="T14" s="55" t="n">
        <v>0</v>
      </c>
      <c r="U14" s="55" t="n">
        <v>0</v>
      </c>
      <c r="V14" s="56" t="n">
        <v>1</v>
      </c>
      <c r="W14" s="55" t="n">
        <v>0</v>
      </c>
      <c r="X14" s="55" t="n">
        <v>0</v>
      </c>
      <c r="Y14" s="55" t="n">
        <v>0</v>
      </c>
      <c r="Z14" s="55" t="n">
        <v>0</v>
      </c>
      <c r="AA14" s="55" t="n">
        <v>0</v>
      </c>
      <c r="AB14" s="55" t="n">
        <v>0</v>
      </c>
      <c r="AC14" s="55" t="n">
        <v>0</v>
      </c>
    </row>
    <row r="15" ht="22" customHeight="1">
      <c r="A15" s="57" t="inlineStr">
        <is>
          <t>dependency-check</t>
        </is>
      </c>
      <c r="B15" s="58" t="inlineStr">
        <is>
          <t>OWASP Dependency-Check (SCA)</t>
        </is>
      </c>
      <c r="C15" s="57" t="n">
        <v>2</v>
      </c>
      <c r="D15" s="57" t="inlineStr">
        <is>
          <t>async</t>
        </is>
      </c>
      <c r="E15" s="57" t="inlineStr">
        <is>
          <t>nightly</t>
        </is>
      </c>
      <c r="F15" s="57" t="n">
        <v>2</v>
      </c>
      <c r="G15" s="57" t="n">
        <v>4</v>
      </c>
      <c r="H15" s="57" t="n">
        <v>0.5</v>
      </c>
      <c r="I15" s="57" t="n">
        <v>0</v>
      </c>
      <c r="J15" s="57" t="n">
        <v>15</v>
      </c>
      <c r="K15" s="57" t="n">
        <v>0.05</v>
      </c>
      <c r="L15" s="57" t="n">
        <v>365</v>
      </c>
      <c r="M15" s="57" t="n">
        <v>0.1</v>
      </c>
      <c r="N15" s="57" t="n">
        <v>0.15</v>
      </c>
      <c r="O15" s="59">
        <f>INDEX('02_Freq_Weight'!$E$3:$E$9,MATCH(E15,'02_Freq_Weight'!$A$3:$A$9,0))</f>
        <v/>
      </c>
      <c r="P15" s="60">
        <f>$K15*'05_Params'!$B$4*POWER(1+$N15,'05_Params'!$B$13/12)*MIN($L15,'05_Params'!$B$13*30.44)*(1+$M15)</f>
        <v/>
      </c>
      <c r="Q15" s="60">
        <f>$K15*'05_Params'!$B$4*POWER(1+$N15,'05_Params'!$B$14/12)*MIN($L15,'05_Params'!$B$14*30.44)*(1+$M15)</f>
        <v/>
      </c>
      <c r="R15" s="60">
        <f>$K15*'05_Params'!$B$4*POWER(1+$N15,'05_Params'!$B$15/12)*MIN($L15,'05_Params'!$B$15*30.44)*(1+$M15)</f>
        <v/>
      </c>
      <c r="S15" s="60">
        <f>$K15*'05_Params'!$B$4*POWER(1+$N15,'05_Params'!$B$16/12)*MIN($L15,'05_Params'!$B$16*30.44)*(1+$M15)</f>
        <v/>
      </c>
      <c r="T15" s="55" t="n">
        <v>0</v>
      </c>
      <c r="U15" s="55" t="n">
        <v>0</v>
      </c>
      <c r="V15" s="55" t="n">
        <v>0</v>
      </c>
      <c r="W15" s="56" t="n">
        <v>1</v>
      </c>
      <c r="X15" s="55" t="n">
        <v>0</v>
      </c>
      <c r="Y15" s="55" t="n">
        <v>0</v>
      </c>
      <c r="Z15" s="55" t="n">
        <v>0</v>
      </c>
      <c r="AA15" s="55" t="n">
        <v>0</v>
      </c>
      <c r="AB15" s="55" t="n">
        <v>0</v>
      </c>
      <c r="AC15" s="55" t="n">
        <v>0</v>
      </c>
    </row>
    <row r="16" ht="22" customHeight="1">
      <c r="A16" s="57" t="inlineStr">
        <is>
          <t>trivy</t>
        </is>
      </c>
      <c r="B16" s="58" t="inlineStr">
        <is>
          <t>Trivy (SCA + Container + IaC + Secret ในตัวเดียว)</t>
        </is>
      </c>
      <c r="C16" s="57" t="n">
        <v>2</v>
      </c>
      <c r="D16" s="57" t="inlineStr">
        <is>
          <t>ci_seq</t>
        </is>
      </c>
      <c r="E16" s="57" t="inlineStr">
        <is>
          <t>per_build</t>
        </is>
      </c>
      <c r="F16" s="57" t="n">
        <v>2</v>
      </c>
      <c r="G16" s="57" t="n">
        <v>2</v>
      </c>
      <c r="H16" s="57" t="n">
        <v>0</v>
      </c>
      <c r="I16" s="57" t="n">
        <v>0</v>
      </c>
      <c r="J16" s="57" t="n">
        <v>10</v>
      </c>
      <c r="K16" s="57" t="n">
        <v>0.03</v>
      </c>
      <c r="L16" s="57" t="n">
        <v>365</v>
      </c>
      <c r="M16" s="57" t="n">
        <v>0.05</v>
      </c>
      <c r="N16" s="57" t="n">
        <v>0.15</v>
      </c>
      <c r="O16" s="59">
        <f>INDEX('02_Freq_Weight'!$E$3:$E$9,MATCH(E16,'02_Freq_Weight'!$A$3:$A$9,0))</f>
        <v/>
      </c>
      <c r="P16" s="60">
        <f>$K16*'05_Params'!$B$4*POWER(1+$N16,'05_Params'!$B$13/12)*MIN($L16,'05_Params'!$B$13*30.44)*(1+$M16)</f>
        <v/>
      </c>
      <c r="Q16" s="60">
        <f>$K16*'05_Params'!$B$4*POWER(1+$N16,'05_Params'!$B$14/12)*MIN($L16,'05_Params'!$B$14*30.44)*(1+$M16)</f>
        <v/>
      </c>
      <c r="R16" s="60">
        <f>$K16*'05_Params'!$B$4*POWER(1+$N16,'05_Params'!$B$15/12)*MIN($L16,'05_Params'!$B$15*30.44)*(1+$M16)</f>
        <v/>
      </c>
      <c r="S16" s="60">
        <f>$K16*'05_Params'!$B$4*POWER(1+$N16,'05_Params'!$B$16/12)*MIN($L16,'05_Params'!$B$16*30.44)*(1+$M16)</f>
        <v/>
      </c>
      <c r="T16" s="55" t="n">
        <v>0</v>
      </c>
      <c r="U16" s="55" t="n">
        <v>0</v>
      </c>
      <c r="V16" s="56" t="n">
        <v>1</v>
      </c>
      <c r="W16" s="55" t="n">
        <v>0</v>
      </c>
      <c r="X16" s="55" t="n">
        <v>0</v>
      </c>
      <c r="Y16" s="55" t="n">
        <v>0</v>
      </c>
      <c r="Z16" s="55" t="n">
        <v>0</v>
      </c>
      <c r="AA16" s="55" t="n">
        <v>0</v>
      </c>
      <c r="AB16" s="55" t="n">
        <v>0</v>
      </c>
      <c r="AC16" s="55" t="n">
        <v>0</v>
      </c>
    </row>
    <row r="17" ht="22" customHeight="1">
      <c r="A17" s="57" t="inlineStr">
        <is>
          <t>fossology</t>
        </is>
      </c>
      <c r="B17" s="58" t="inlineStr">
        <is>
          <t>FOSSology / ScanCode (License Compliance)</t>
        </is>
      </c>
      <c r="C17" s="57" t="n">
        <v>2</v>
      </c>
      <c r="D17" s="57" t="inlineStr">
        <is>
          <t>resident</t>
        </is>
      </c>
      <c r="E17" s="57" t="inlineStr">
        <is>
          <t>weekly</t>
        </is>
      </c>
      <c r="F17" s="57" t="n">
        <v>4</v>
      </c>
      <c r="G17" s="57" t="n">
        <v>8</v>
      </c>
      <c r="H17" s="57" t="n">
        <v>2</v>
      </c>
      <c r="I17" s="57" t="n">
        <v>1</v>
      </c>
      <c r="J17" s="57" t="n">
        <v>30</v>
      </c>
      <c r="K17" s="57" t="n">
        <v>0.05</v>
      </c>
      <c r="L17" s="57" t="n">
        <v>730</v>
      </c>
      <c r="M17" s="57" t="n">
        <v>0.2</v>
      </c>
      <c r="N17" s="57" t="n">
        <v>0.1</v>
      </c>
      <c r="O17" s="59">
        <f>INDEX('02_Freq_Weight'!$E$3:$E$9,MATCH(E17,'02_Freq_Weight'!$A$3:$A$9,0))</f>
        <v/>
      </c>
      <c r="P17" s="60">
        <f>$K17*'05_Params'!$B$4*POWER(1+$N17,'05_Params'!$B$13/12)*MIN($L17,'05_Params'!$B$13*30.44)*(1+$M17)</f>
        <v/>
      </c>
      <c r="Q17" s="60">
        <f>$K17*'05_Params'!$B$4*POWER(1+$N17,'05_Params'!$B$14/12)*MIN($L17,'05_Params'!$B$14*30.44)*(1+$M17)</f>
        <v/>
      </c>
      <c r="R17" s="60">
        <f>$K17*'05_Params'!$B$4*POWER(1+$N17,'05_Params'!$B$15/12)*MIN($L17,'05_Params'!$B$15*30.44)*(1+$M17)</f>
        <v/>
      </c>
      <c r="S17" s="60">
        <f>$K17*'05_Params'!$B$4*POWER(1+$N17,'05_Params'!$B$16/12)*MIN($L17,'05_Params'!$B$16*30.44)*(1+$M17)</f>
        <v/>
      </c>
      <c r="T17" s="55" t="n">
        <v>0</v>
      </c>
      <c r="U17" s="55" t="n">
        <v>0</v>
      </c>
      <c r="V17" s="55" t="n">
        <v>0</v>
      </c>
      <c r="W17" s="55" t="n">
        <v>0</v>
      </c>
      <c r="X17" s="55" t="n">
        <v>0</v>
      </c>
      <c r="Y17" s="55" t="n">
        <v>0</v>
      </c>
      <c r="Z17" s="55" t="n">
        <v>0</v>
      </c>
      <c r="AA17" s="55" t="n">
        <v>0</v>
      </c>
      <c r="AB17" s="55" t="n">
        <v>0</v>
      </c>
      <c r="AC17" s="55" t="n">
        <v>0</v>
      </c>
    </row>
    <row r="18" ht="22" customHeight="1">
      <c r="A18" s="57" t="inlineStr">
        <is>
          <t>linters</t>
        </is>
      </c>
      <c r="B18" s="58" t="inlineStr">
        <is>
          <t>Linters (ESLint / Pylint / golangci-lint / RuboCop)</t>
        </is>
      </c>
      <c r="C18" s="57" t="n">
        <v>2</v>
      </c>
      <c r="D18" s="57" t="inlineStr">
        <is>
          <t>ci_seq</t>
        </is>
      </c>
      <c r="E18" s="57" t="inlineStr">
        <is>
          <t>per_commit</t>
        </is>
      </c>
      <c r="F18" s="57" t="n">
        <v>1</v>
      </c>
      <c r="G18" s="57" t="n">
        <v>2</v>
      </c>
      <c r="H18" s="57" t="n">
        <v>0</v>
      </c>
      <c r="I18" s="57" t="n">
        <v>0</v>
      </c>
      <c r="J18" s="57" t="n">
        <v>3</v>
      </c>
      <c r="K18" s="57" t="n">
        <v>0.01</v>
      </c>
      <c r="L18" s="57" t="n">
        <v>90</v>
      </c>
      <c r="M18" s="57" t="n">
        <v>0.05</v>
      </c>
      <c r="N18" s="57" t="n">
        <v>0.1</v>
      </c>
      <c r="O18" s="59">
        <f>INDEX('02_Freq_Weight'!$E$3:$E$9,MATCH(E18,'02_Freq_Weight'!$A$3:$A$9,0))</f>
        <v/>
      </c>
      <c r="P18" s="60">
        <f>$K18*'05_Params'!$B$4*POWER(1+$N18,'05_Params'!$B$13/12)*MIN($L18,'05_Params'!$B$13*30.44)*(1+$M18)</f>
        <v/>
      </c>
      <c r="Q18" s="60">
        <f>$K18*'05_Params'!$B$4*POWER(1+$N18,'05_Params'!$B$14/12)*MIN($L18,'05_Params'!$B$14*30.44)*(1+$M18)</f>
        <v/>
      </c>
      <c r="R18" s="60">
        <f>$K18*'05_Params'!$B$4*POWER(1+$N18,'05_Params'!$B$15/12)*MIN($L18,'05_Params'!$B$15*30.44)*(1+$M18)</f>
        <v/>
      </c>
      <c r="S18" s="60">
        <f>$K18*'05_Params'!$B$4*POWER(1+$N18,'05_Params'!$B$16/12)*MIN($L18,'05_Params'!$B$16*30.44)*(1+$M18)</f>
        <v/>
      </c>
      <c r="T18" s="55" t="n">
        <v>0</v>
      </c>
      <c r="U18" s="55" t="n">
        <v>0</v>
      </c>
      <c r="V18" s="56" t="n">
        <v>1</v>
      </c>
      <c r="W18" s="55" t="n">
        <v>0</v>
      </c>
      <c r="X18" s="55" t="n">
        <v>0</v>
      </c>
      <c r="Y18" s="55" t="n">
        <v>0</v>
      </c>
      <c r="Z18" s="55" t="n">
        <v>0</v>
      </c>
      <c r="AA18" s="55" t="n">
        <v>0</v>
      </c>
      <c r="AB18" s="55" t="n">
        <v>0</v>
      </c>
      <c r="AC18" s="55" t="n">
        <v>0</v>
      </c>
    </row>
    <row r="19" ht="22" customHeight="1">
      <c r="A19" s="61" t="inlineStr">
        <is>
          <t>maven-gradle</t>
        </is>
      </c>
      <c r="B19" s="62" t="inlineStr">
        <is>
          <t>Maven / Gradle / npm / pip (Build &amp; Compilation)</t>
        </is>
      </c>
      <c r="C19" s="61" t="n">
        <v>3</v>
      </c>
      <c r="D19" s="61" t="inlineStr">
        <is>
          <t>ci_seq</t>
        </is>
      </c>
      <c r="E19" s="61" t="inlineStr">
        <is>
          <t>per_commit</t>
        </is>
      </c>
      <c r="F19" s="61" t="n">
        <v>2</v>
      </c>
      <c r="G19" s="61" t="n">
        <v>4</v>
      </c>
      <c r="H19" s="61" t="n">
        <v>0</v>
      </c>
      <c r="I19" s="61" t="n">
        <v>0</v>
      </c>
      <c r="J19" s="61" t="n">
        <v>40</v>
      </c>
      <c r="K19" s="61" t="n">
        <v>0.3</v>
      </c>
      <c r="L19" s="61" t="n">
        <v>30</v>
      </c>
      <c r="M19" s="61" t="n">
        <v>0.05</v>
      </c>
      <c r="N19" s="61" t="n">
        <v>0.2</v>
      </c>
      <c r="O19" s="63">
        <f>INDEX('02_Freq_Weight'!$E$3:$E$9,MATCH(E19,'02_Freq_Weight'!$A$3:$A$9,0))</f>
        <v/>
      </c>
      <c r="P19" s="64">
        <f>$K19*'05_Params'!$B$4*POWER(1+$N19,'05_Params'!$B$13/12)*MIN($L19,'05_Params'!$B$13*30.44)*(1+$M19)</f>
        <v/>
      </c>
      <c r="Q19" s="64">
        <f>$K19*'05_Params'!$B$4*POWER(1+$N19,'05_Params'!$B$14/12)*MIN($L19,'05_Params'!$B$14*30.44)*(1+$M19)</f>
        <v/>
      </c>
      <c r="R19" s="64">
        <f>$K19*'05_Params'!$B$4*POWER(1+$N19,'05_Params'!$B$15/12)*MIN($L19,'05_Params'!$B$15*30.44)*(1+$M19)</f>
        <v/>
      </c>
      <c r="S19" s="64">
        <f>$K19*'05_Params'!$B$4*POWER(1+$N19,'05_Params'!$B$16/12)*MIN($L19,'05_Params'!$B$16*30.44)*(1+$M19)</f>
        <v/>
      </c>
      <c r="T19" s="55" t="n">
        <v>0</v>
      </c>
      <c r="U19" s="55" t="n">
        <v>0</v>
      </c>
      <c r="V19" s="56" t="n">
        <v>1</v>
      </c>
      <c r="W19" s="55" t="n">
        <v>0</v>
      </c>
      <c r="X19" s="55" t="n">
        <v>0</v>
      </c>
      <c r="Y19" s="55" t="n">
        <v>0</v>
      </c>
      <c r="Z19" s="55" t="n">
        <v>0</v>
      </c>
      <c r="AA19" s="55" t="n">
        <v>0</v>
      </c>
      <c r="AB19" s="55" t="n">
        <v>0</v>
      </c>
      <c r="AC19" s="55" t="n">
        <v>0</v>
      </c>
    </row>
    <row r="20" ht="22" customHeight="1">
      <c r="A20" s="61" t="inlineStr">
        <is>
          <t>docker-buildkit</t>
        </is>
      </c>
      <c r="B20" s="62" t="inlineStr">
        <is>
          <t>Docker Engine / BuildKit (Container Image Builder)</t>
        </is>
      </c>
      <c r="C20" s="61" t="n">
        <v>3</v>
      </c>
      <c r="D20" s="61" t="inlineStr">
        <is>
          <t>ci_seq</t>
        </is>
      </c>
      <c r="E20" s="61" t="inlineStr">
        <is>
          <t>per_commit</t>
        </is>
      </c>
      <c r="F20" s="61" t="n">
        <v>2</v>
      </c>
      <c r="G20" s="61" t="n">
        <v>4</v>
      </c>
      <c r="H20" s="61" t="n">
        <v>0.5</v>
      </c>
      <c r="I20" s="61" t="n">
        <v>1</v>
      </c>
      <c r="J20" s="61" t="n">
        <v>100</v>
      </c>
      <c r="K20" s="61" t="n">
        <v>2</v>
      </c>
      <c r="L20" s="61" t="n">
        <v>21</v>
      </c>
      <c r="M20" s="61" t="n">
        <v>0.1</v>
      </c>
      <c r="N20" s="61" t="n">
        <v>0.2</v>
      </c>
      <c r="O20" s="63">
        <f>INDEX('02_Freq_Weight'!$E$3:$E$9,MATCH(E20,'02_Freq_Weight'!$A$3:$A$9,0))</f>
        <v/>
      </c>
      <c r="P20" s="64">
        <f>$K20*'05_Params'!$B$4*POWER(1+$N20,'05_Params'!$B$13/12)*MIN($L20,'05_Params'!$B$13*30.44)*(1+$M20)</f>
        <v/>
      </c>
      <c r="Q20" s="64">
        <f>$K20*'05_Params'!$B$4*POWER(1+$N20,'05_Params'!$B$14/12)*MIN($L20,'05_Params'!$B$14*30.44)*(1+$M20)</f>
        <v/>
      </c>
      <c r="R20" s="64">
        <f>$K20*'05_Params'!$B$4*POWER(1+$N20,'05_Params'!$B$15/12)*MIN($L20,'05_Params'!$B$15*30.44)*(1+$M20)</f>
        <v/>
      </c>
      <c r="S20" s="64">
        <f>$K20*'05_Params'!$B$4*POWER(1+$N20,'05_Params'!$B$16/12)*MIN($L20,'05_Params'!$B$16*30.44)*(1+$M20)</f>
        <v/>
      </c>
      <c r="T20" s="55" t="n">
        <v>0</v>
      </c>
      <c r="U20" s="55" t="n">
        <v>0</v>
      </c>
      <c r="V20" s="56" t="n">
        <v>1</v>
      </c>
      <c r="W20" s="55" t="n">
        <v>0</v>
      </c>
      <c r="X20" s="55" t="n">
        <v>0</v>
      </c>
      <c r="Y20" s="55" t="n">
        <v>0</v>
      </c>
      <c r="Z20" s="55" t="n">
        <v>0</v>
      </c>
      <c r="AA20" s="55" t="n">
        <v>0</v>
      </c>
      <c r="AB20" s="55" t="n">
        <v>0</v>
      </c>
      <c r="AC20" s="55" t="n">
        <v>0</v>
      </c>
    </row>
    <row r="21" ht="22" customHeight="1">
      <c r="A21" s="61" t="inlineStr">
        <is>
          <t>checkov</t>
        </is>
      </c>
      <c r="B21" s="62" t="inlineStr">
        <is>
          <t>Checkov / tfsec / KubeLinter (IaC Validation)</t>
        </is>
      </c>
      <c r="C21" s="61" t="n">
        <v>3</v>
      </c>
      <c r="D21" s="61" t="inlineStr">
        <is>
          <t>ci_seq</t>
        </is>
      </c>
      <c r="E21" s="61" t="inlineStr">
        <is>
          <t>per_build</t>
        </is>
      </c>
      <c r="F21" s="61" t="n">
        <v>1</v>
      </c>
      <c r="G21" s="61" t="n">
        <v>2</v>
      </c>
      <c r="H21" s="61" t="n">
        <v>0</v>
      </c>
      <c r="I21" s="61" t="n">
        <v>0</v>
      </c>
      <c r="J21" s="61" t="n">
        <v>5</v>
      </c>
      <c r="K21" s="61" t="n">
        <v>0.01</v>
      </c>
      <c r="L21" s="61" t="n">
        <v>365</v>
      </c>
      <c r="M21" s="61" t="n">
        <v>0.05</v>
      </c>
      <c r="N21" s="61" t="n">
        <v>0.1</v>
      </c>
      <c r="O21" s="63">
        <f>INDEX('02_Freq_Weight'!$E$3:$E$9,MATCH(E21,'02_Freq_Weight'!$A$3:$A$9,0))</f>
        <v/>
      </c>
      <c r="P21" s="64">
        <f>$K21*'05_Params'!$B$4*POWER(1+$N21,'05_Params'!$B$13/12)*MIN($L21,'05_Params'!$B$13*30.44)*(1+$M21)</f>
        <v/>
      </c>
      <c r="Q21" s="64">
        <f>$K21*'05_Params'!$B$4*POWER(1+$N21,'05_Params'!$B$14/12)*MIN($L21,'05_Params'!$B$14*30.44)*(1+$M21)</f>
        <v/>
      </c>
      <c r="R21" s="64">
        <f>$K21*'05_Params'!$B$4*POWER(1+$N21,'05_Params'!$B$15/12)*MIN($L21,'05_Params'!$B$15*30.44)*(1+$M21)</f>
        <v/>
      </c>
      <c r="S21" s="64">
        <f>$K21*'05_Params'!$B$4*POWER(1+$N21,'05_Params'!$B$16/12)*MIN($L21,'05_Params'!$B$16*30.44)*(1+$M21)</f>
        <v/>
      </c>
      <c r="T21" s="55" t="n">
        <v>0</v>
      </c>
      <c r="U21" s="55" t="n">
        <v>0</v>
      </c>
      <c r="V21" s="56" t="n">
        <v>1</v>
      </c>
      <c r="W21" s="55" t="n">
        <v>0</v>
      </c>
      <c r="X21" s="55" t="n">
        <v>0</v>
      </c>
      <c r="Y21" s="55" t="n">
        <v>0</v>
      </c>
      <c r="Z21" s="55" t="n">
        <v>0</v>
      </c>
      <c r="AA21" s="55" t="n">
        <v>0</v>
      </c>
      <c r="AB21" s="55" t="n">
        <v>0</v>
      </c>
      <c r="AC21" s="55" t="n">
        <v>0</v>
      </c>
    </row>
    <row r="22" ht="22" customHeight="1">
      <c r="A22" s="61" t="inlineStr">
        <is>
          <t>cosign</t>
        </is>
      </c>
      <c r="B22" s="62" t="inlineStr">
        <is>
          <t>Sigstore Cosign / Notary v2 (Artifact Signing)</t>
        </is>
      </c>
      <c r="C22" s="61" t="n">
        <v>3</v>
      </c>
      <c r="D22" s="61" t="inlineStr">
        <is>
          <t>ci_seq</t>
        </is>
      </c>
      <c r="E22" s="61" t="inlineStr">
        <is>
          <t>per_build</t>
        </is>
      </c>
      <c r="F22" s="61" t="n">
        <v>1</v>
      </c>
      <c r="G22" s="61" t="n">
        <v>2</v>
      </c>
      <c r="H22" s="61" t="n">
        <v>0</v>
      </c>
      <c r="I22" s="61" t="n">
        <v>0</v>
      </c>
      <c r="J22" s="61" t="n">
        <v>5</v>
      </c>
      <c r="K22" s="61" t="n">
        <v>0.01</v>
      </c>
      <c r="L22" s="61" t="n">
        <v>2555</v>
      </c>
      <c r="M22" s="61" t="n">
        <v>0.05</v>
      </c>
      <c r="N22" s="61" t="n">
        <v>0.1</v>
      </c>
      <c r="O22" s="63">
        <f>INDEX('02_Freq_Weight'!$E$3:$E$9,MATCH(E22,'02_Freq_Weight'!$A$3:$A$9,0))</f>
        <v/>
      </c>
      <c r="P22" s="64">
        <f>$K22*'05_Params'!$B$4*POWER(1+$N22,'05_Params'!$B$13/12)*MIN($L22,'05_Params'!$B$13*30.44)*(1+$M22)</f>
        <v/>
      </c>
      <c r="Q22" s="64">
        <f>$K22*'05_Params'!$B$4*POWER(1+$N22,'05_Params'!$B$14/12)*MIN($L22,'05_Params'!$B$14*30.44)*(1+$M22)</f>
        <v/>
      </c>
      <c r="R22" s="64">
        <f>$K22*'05_Params'!$B$4*POWER(1+$N22,'05_Params'!$B$15/12)*MIN($L22,'05_Params'!$B$15*30.44)*(1+$M22)</f>
        <v/>
      </c>
      <c r="S22" s="64">
        <f>$K22*'05_Params'!$B$4*POWER(1+$N22,'05_Params'!$B$16/12)*MIN($L22,'05_Params'!$B$16*30.44)*(1+$M22)</f>
        <v/>
      </c>
      <c r="T22" s="55" t="n">
        <v>0</v>
      </c>
      <c r="U22" s="55" t="n">
        <v>0</v>
      </c>
      <c r="V22" s="56" t="n">
        <v>1</v>
      </c>
      <c r="W22" s="55" t="n">
        <v>0</v>
      </c>
      <c r="X22" s="55" t="n">
        <v>0</v>
      </c>
      <c r="Y22" s="55" t="n">
        <v>0</v>
      </c>
      <c r="Z22" s="55" t="n">
        <v>0</v>
      </c>
      <c r="AA22" s="55" t="n">
        <v>0</v>
      </c>
      <c r="AB22" s="55" t="n">
        <v>0</v>
      </c>
      <c r="AC22" s="55" t="n">
        <v>0</v>
      </c>
    </row>
    <row r="23" ht="22" customHeight="1">
      <c r="A23" s="61" t="inlineStr">
        <is>
          <t>syft</t>
        </is>
      </c>
      <c r="B23" s="62" t="inlineStr">
        <is>
          <t>Syft / CycloneDX CLI (SBOM Generation)</t>
        </is>
      </c>
      <c r="C23" s="61" t="n">
        <v>3</v>
      </c>
      <c r="D23" s="61" t="inlineStr">
        <is>
          <t>ci_seq</t>
        </is>
      </c>
      <c r="E23" s="61" t="inlineStr">
        <is>
          <t>per_build</t>
        </is>
      </c>
      <c r="F23" s="61" t="n">
        <v>1</v>
      </c>
      <c r="G23" s="61" t="n">
        <v>2</v>
      </c>
      <c r="H23" s="61" t="n">
        <v>0</v>
      </c>
      <c r="I23" s="61" t="n">
        <v>0</v>
      </c>
      <c r="J23" s="61" t="n">
        <v>5</v>
      </c>
      <c r="K23" s="61" t="n">
        <v>0.02</v>
      </c>
      <c r="L23" s="61" t="n">
        <v>2555</v>
      </c>
      <c r="M23" s="61" t="n">
        <v>0.05</v>
      </c>
      <c r="N23" s="61" t="n">
        <v>0.15</v>
      </c>
      <c r="O23" s="63">
        <f>INDEX('02_Freq_Weight'!$E$3:$E$9,MATCH(E23,'02_Freq_Weight'!$A$3:$A$9,0))</f>
        <v/>
      </c>
      <c r="P23" s="64">
        <f>$K23*'05_Params'!$B$4*POWER(1+$N23,'05_Params'!$B$13/12)*MIN($L23,'05_Params'!$B$13*30.44)*(1+$M23)</f>
        <v/>
      </c>
      <c r="Q23" s="64">
        <f>$K23*'05_Params'!$B$4*POWER(1+$N23,'05_Params'!$B$14/12)*MIN($L23,'05_Params'!$B$14*30.44)*(1+$M23)</f>
        <v/>
      </c>
      <c r="R23" s="64">
        <f>$K23*'05_Params'!$B$4*POWER(1+$N23,'05_Params'!$B$15/12)*MIN($L23,'05_Params'!$B$15*30.44)*(1+$M23)</f>
        <v/>
      </c>
      <c r="S23" s="64">
        <f>$K23*'05_Params'!$B$4*POWER(1+$N23,'05_Params'!$B$16/12)*MIN($L23,'05_Params'!$B$16*30.44)*(1+$M23)</f>
        <v/>
      </c>
      <c r="T23" s="55" t="n">
        <v>0</v>
      </c>
      <c r="U23" s="55" t="n">
        <v>0</v>
      </c>
      <c r="V23" s="56" t="n">
        <v>1</v>
      </c>
      <c r="W23" s="55" t="n">
        <v>0</v>
      </c>
      <c r="X23" s="55" t="n">
        <v>0</v>
      </c>
      <c r="Y23" s="55" t="n">
        <v>0</v>
      </c>
      <c r="Z23" s="55" t="n">
        <v>0</v>
      </c>
      <c r="AA23" s="55" t="n">
        <v>0</v>
      </c>
      <c r="AB23" s="55" t="n">
        <v>0</v>
      </c>
      <c r="AC23" s="55" t="n">
        <v>0</v>
      </c>
    </row>
    <row r="24" ht="22" customHeight="1">
      <c r="A24" s="65" t="inlineStr">
        <is>
          <t>unit-test-runner</t>
        </is>
      </c>
      <c r="B24" s="66" t="inlineStr">
        <is>
          <t>pytest / Jest / JUnit / Go test (Unit Test)</t>
        </is>
      </c>
      <c r="C24" s="65" t="n">
        <v>4</v>
      </c>
      <c r="D24" s="65" t="inlineStr">
        <is>
          <t>ci_seq</t>
        </is>
      </c>
      <c r="E24" s="65" t="inlineStr">
        <is>
          <t>per_commit</t>
        </is>
      </c>
      <c r="F24" s="65" t="n">
        <v>2</v>
      </c>
      <c r="G24" s="65" t="n">
        <v>4</v>
      </c>
      <c r="H24" s="65" t="n">
        <v>0</v>
      </c>
      <c r="I24" s="65" t="n">
        <v>0</v>
      </c>
      <c r="J24" s="65" t="n">
        <v>20</v>
      </c>
      <c r="K24" s="65" t="n">
        <v>0.1</v>
      </c>
      <c r="L24" s="65" t="n">
        <v>90</v>
      </c>
      <c r="M24" s="65" t="n">
        <v>0.05</v>
      </c>
      <c r="N24" s="65" t="n">
        <v>0.15</v>
      </c>
      <c r="O24" s="67">
        <f>INDEX('02_Freq_Weight'!$E$3:$E$9,MATCH(E24,'02_Freq_Weight'!$A$3:$A$9,0))</f>
        <v/>
      </c>
      <c r="P24" s="68">
        <f>$K24*'05_Params'!$B$4*POWER(1+$N24,'05_Params'!$B$13/12)*MIN($L24,'05_Params'!$B$13*30.44)*(1+$M24)</f>
        <v/>
      </c>
      <c r="Q24" s="68">
        <f>$K24*'05_Params'!$B$4*POWER(1+$N24,'05_Params'!$B$14/12)*MIN($L24,'05_Params'!$B$14*30.44)*(1+$M24)</f>
        <v/>
      </c>
      <c r="R24" s="68">
        <f>$K24*'05_Params'!$B$4*POWER(1+$N24,'05_Params'!$B$15/12)*MIN($L24,'05_Params'!$B$15*30.44)*(1+$M24)</f>
        <v/>
      </c>
      <c r="S24" s="68">
        <f>$K24*'05_Params'!$B$4*POWER(1+$N24,'05_Params'!$B$16/12)*MIN($L24,'05_Params'!$B$16*30.44)*(1+$M24)</f>
        <v/>
      </c>
      <c r="T24" s="55" t="n">
        <v>0</v>
      </c>
      <c r="U24" s="55" t="n">
        <v>0</v>
      </c>
      <c r="V24" s="56" t="n">
        <v>1</v>
      </c>
      <c r="W24" s="55" t="n">
        <v>0</v>
      </c>
      <c r="X24" s="55" t="n">
        <v>0</v>
      </c>
      <c r="Y24" s="55" t="n">
        <v>0</v>
      </c>
      <c r="Z24" s="55" t="n">
        <v>0</v>
      </c>
      <c r="AA24" s="55" t="n">
        <v>0</v>
      </c>
      <c r="AB24" s="55" t="n">
        <v>0</v>
      </c>
      <c r="AC24" s="55" t="n">
        <v>0</v>
      </c>
    </row>
    <row r="25" ht="22" customHeight="1">
      <c r="A25" s="65" t="inlineStr">
        <is>
          <t>testcontainers</t>
        </is>
      </c>
      <c r="B25" s="66" t="inlineStr">
        <is>
          <t>Testcontainers / WireMock / Pact (Integration Test)</t>
        </is>
      </c>
      <c r="C25" s="65" t="n">
        <v>4</v>
      </c>
      <c r="D25" s="65" t="inlineStr">
        <is>
          <t>ci_seq</t>
        </is>
      </c>
      <c r="E25" s="65" t="inlineStr">
        <is>
          <t>per_build</t>
        </is>
      </c>
      <c r="F25" s="65" t="n">
        <v>4</v>
      </c>
      <c r="G25" s="65" t="n">
        <v>8</v>
      </c>
      <c r="H25" s="65" t="n">
        <v>0</v>
      </c>
      <c r="I25" s="65" t="n">
        <v>0</v>
      </c>
      <c r="J25" s="65" t="n">
        <v>40</v>
      </c>
      <c r="K25" s="65" t="n">
        <v>0.15</v>
      </c>
      <c r="L25" s="65" t="n">
        <v>90</v>
      </c>
      <c r="M25" s="65" t="n">
        <v>0.05</v>
      </c>
      <c r="N25" s="65" t="n">
        <v>0.15</v>
      </c>
      <c r="O25" s="67">
        <f>INDEX('02_Freq_Weight'!$E$3:$E$9,MATCH(E25,'02_Freq_Weight'!$A$3:$A$9,0))</f>
        <v/>
      </c>
      <c r="P25" s="68">
        <f>$K25*'05_Params'!$B$4*POWER(1+$N25,'05_Params'!$B$13/12)*MIN($L25,'05_Params'!$B$13*30.44)*(1+$M25)</f>
        <v/>
      </c>
      <c r="Q25" s="68">
        <f>$K25*'05_Params'!$B$4*POWER(1+$N25,'05_Params'!$B$14/12)*MIN($L25,'05_Params'!$B$14*30.44)*(1+$M25)</f>
        <v/>
      </c>
      <c r="R25" s="68">
        <f>$K25*'05_Params'!$B$4*POWER(1+$N25,'05_Params'!$B$15/12)*MIN($L25,'05_Params'!$B$15*30.44)*(1+$M25)</f>
        <v/>
      </c>
      <c r="S25" s="68">
        <f>$K25*'05_Params'!$B$4*POWER(1+$N25,'05_Params'!$B$16/12)*MIN($L25,'05_Params'!$B$16*30.44)*(1+$M25)</f>
        <v/>
      </c>
      <c r="T25" s="55" t="n">
        <v>0</v>
      </c>
      <c r="U25" s="55" t="n">
        <v>0</v>
      </c>
      <c r="V25" s="56" t="n">
        <v>1</v>
      </c>
      <c r="W25" s="55" t="n">
        <v>0</v>
      </c>
      <c r="X25" s="55" t="n">
        <v>0</v>
      </c>
      <c r="Y25" s="55" t="n">
        <v>0</v>
      </c>
      <c r="Z25" s="55" t="n">
        <v>0</v>
      </c>
      <c r="AA25" s="55" t="n">
        <v>0</v>
      </c>
      <c r="AB25" s="55" t="n">
        <v>0</v>
      </c>
      <c r="AC25" s="55" t="n">
        <v>0</v>
      </c>
    </row>
    <row r="26" ht="22" customHeight="1">
      <c r="A26" s="65" t="inlineStr">
        <is>
          <t>owasp-zap</t>
        </is>
      </c>
      <c r="B26" s="66" t="inlineStr">
        <is>
          <t>OWASP ZAP (DAST + API Security)</t>
        </is>
      </c>
      <c r="C26" s="65" t="n">
        <v>4</v>
      </c>
      <c r="D26" s="65" t="inlineStr">
        <is>
          <t>async</t>
        </is>
      </c>
      <c r="E26" s="65" t="inlineStr">
        <is>
          <t>nightly</t>
        </is>
      </c>
      <c r="F26" s="65" t="n">
        <v>2</v>
      </c>
      <c r="G26" s="65" t="n">
        <v>4</v>
      </c>
      <c r="H26" s="65" t="n">
        <v>0</v>
      </c>
      <c r="I26" s="65" t="n">
        <v>0</v>
      </c>
      <c r="J26" s="65" t="n">
        <v>20</v>
      </c>
      <c r="K26" s="65" t="n">
        <v>0.15</v>
      </c>
      <c r="L26" s="65" t="n">
        <v>730</v>
      </c>
      <c r="M26" s="65" t="n">
        <v>0.1</v>
      </c>
      <c r="N26" s="65" t="n">
        <v>0.15</v>
      </c>
      <c r="O26" s="67">
        <f>INDEX('02_Freq_Weight'!$E$3:$E$9,MATCH(E26,'02_Freq_Weight'!$A$3:$A$9,0))</f>
        <v/>
      </c>
      <c r="P26" s="68">
        <f>$K26*'05_Params'!$B$4*POWER(1+$N26,'05_Params'!$B$13/12)*MIN($L26,'05_Params'!$B$13*30.44)*(1+$M26)</f>
        <v/>
      </c>
      <c r="Q26" s="68">
        <f>$K26*'05_Params'!$B$4*POWER(1+$N26,'05_Params'!$B$14/12)*MIN($L26,'05_Params'!$B$14*30.44)*(1+$M26)</f>
        <v/>
      </c>
      <c r="R26" s="68">
        <f>$K26*'05_Params'!$B$4*POWER(1+$N26,'05_Params'!$B$15/12)*MIN($L26,'05_Params'!$B$15*30.44)*(1+$M26)</f>
        <v/>
      </c>
      <c r="S26" s="68">
        <f>$K26*'05_Params'!$B$4*POWER(1+$N26,'05_Params'!$B$16/12)*MIN($L26,'05_Params'!$B$16*30.44)*(1+$M26)</f>
        <v/>
      </c>
      <c r="T26" s="55" t="n">
        <v>0</v>
      </c>
      <c r="U26" s="55" t="n">
        <v>0</v>
      </c>
      <c r="V26" s="55" t="n">
        <v>0</v>
      </c>
      <c r="W26" s="56" t="n">
        <v>1</v>
      </c>
      <c r="X26" s="55" t="n">
        <v>0</v>
      </c>
      <c r="Y26" s="55" t="n">
        <v>0</v>
      </c>
      <c r="Z26" s="55" t="n">
        <v>0</v>
      </c>
      <c r="AA26" s="55" t="n">
        <v>0</v>
      </c>
      <c r="AB26" s="55" t="n">
        <v>0</v>
      </c>
      <c r="AC26" s="55" t="n">
        <v>0</v>
      </c>
    </row>
    <row r="27" ht="22" customHeight="1">
      <c r="A27" s="65" t="inlineStr">
        <is>
          <t>nuclei</t>
        </is>
      </c>
      <c r="B27" s="66" t="inlineStr">
        <is>
          <t>Nuclei (Template-based Vulnerability Scan)</t>
        </is>
      </c>
      <c r="C27" s="65" t="n">
        <v>4</v>
      </c>
      <c r="D27" s="65" t="inlineStr">
        <is>
          <t>async</t>
        </is>
      </c>
      <c r="E27" s="65" t="inlineStr">
        <is>
          <t>nightly</t>
        </is>
      </c>
      <c r="F27" s="65" t="n">
        <v>2</v>
      </c>
      <c r="G27" s="65" t="n">
        <v>2</v>
      </c>
      <c r="H27" s="65" t="n">
        <v>0</v>
      </c>
      <c r="I27" s="65" t="n">
        <v>0</v>
      </c>
      <c r="J27" s="65" t="n">
        <v>10</v>
      </c>
      <c r="K27" s="65" t="n">
        <v>0.05</v>
      </c>
      <c r="L27" s="65" t="n">
        <v>365</v>
      </c>
      <c r="M27" s="65" t="n">
        <v>0.05</v>
      </c>
      <c r="N27" s="65" t="n">
        <v>0.15</v>
      </c>
      <c r="O27" s="67">
        <f>INDEX('02_Freq_Weight'!$E$3:$E$9,MATCH(E27,'02_Freq_Weight'!$A$3:$A$9,0))</f>
        <v/>
      </c>
      <c r="P27" s="68">
        <f>$K27*'05_Params'!$B$4*POWER(1+$N27,'05_Params'!$B$13/12)*MIN($L27,'05_Params'!$B$13*30.44)*(1+$M27)</f>
        <v/>
      </c>
      <c r="Q27" s="68">
        <f>$K27*'05_Params'!$B$4*POWER(1+$N27,'05_Params'!$B$14/12)*MIN($L27,'05_Params'!$B$14*30.44)*(1+$M27)</f>
        <v/>
      </c>
      <c r="R27" s="68">
        <f>$K27*'05_Params'!$B$4*POWER(1+$N27,'05_Params'!$B$15/12)*MIN($L27,'05_Params'!$B$15*30.44)*(1+$M27)</f>
        <v/>
      </c>
      <c r="S27" s="68">
        <f>$K27*'05_Params'!$B$4*POWER(1+$N27,'05_Params'!$B$16/12)*MIN($L27,'05_Params'!$B$16*30.44)*(1+$M27)</f>
        <v/>
      </c>
      <c r="T27" s="55" t="n">
        <v>0</v>
      </c>
      <c r="U27" s="55" t="n">
        <v>0</v>
      </c>
      <c r="V27" s="55" t="n">
        <v>0</v>
      </c>
      <c r="W27" s="56" t="n">
        <v>1</v>
      </c>
      <c r="X27" s="55" t="n">
        <v>0</v>
      </c>
      <c r="Y27" s="55" t="n">
        <v>0</v>
      </c>
      <c r="Z27" s="55" t="n">
        <v>0</v>
      </c>
      <c r="AA27" s="55" t="n">
        <v>0</v>
      </c>
      <c r="AB27" s="55" t="n">
        <v>0</v>
      </c>
      <c r="AC27" s="55" t="n">
        <v>0</v>
      </c>
    </row>
    <row r="28" ht="22" customHeight="1">
      <c r="A28" s="65" t="inlineStr">
        <is>
          <t>locust</t>
        </is>
      </c>
      <c r="B28" s="66" t="inlineStr">
        <is>
          <t>Locust (Performance / Load Test)</t>
        </is>
      </c>
      <c r="C28" s="65" t="n">
        <v>4</v>
      </c>
      <c r="D28" s="65" t="inlineStr">
        <is>
          <t>load</t>
        </is>
      </c>
      <c r="E28" s="65" t="inlineStr">
        <is>
          <t>weekly</t>
        </is>
      </c>
      <c r="F28" s="65" t="n">
        <v>4</v>
      </c>
      <c r="G28" s="65" t="n">
        <v>8</v>
      </c>
      <c r="H28" s="65" t="n">
        <v>0</v>
      </c>
      <c r="I28" s="65" t="n">
        <v>0</v>
      </c>
      <c r="J28" s="65" t="n">
        <v>20</v>
      </c>
      <c r="K28" s="65" t="n">
        <v>0.05</v>
      </c>
      <c r="L28" s="65" t="n">
        <v>365</v>
      </c>
      <c r="M28" s="65" t="n">
        <v>0.1</v>
      </c>
      <c r="N28" s="65" t="n">
        <v>0.15</v>
      </c>
      <c r="O28" s="67">
        <f>INDEX('02_Freq_Weight'!$E$3:$E$9,MATCH(E28,'02_Freq_Weight'!$A$3:$A$9,0))</f>
        <v/>
      </c>
      <c r="P28" s="68">
        <f>$K28*'05_Params'!$B$4*POWER(1+$N28,'05_Params'!$B$13/12)*MIN($L28,'05_Params'!$B$13*30.44)*(1+$M28)</f>
        <v/>
      </c>
      <c r="Q28" s="68">
        <f>$K28*'05_Params'!$B$4*POWER(1+$N28,'05_Params'!$B$14/12)*MIN($L28,'05_Params'!$B$14*30.44)*(1+$M28)</f>
        <v/>
      </c>
      <c r="R28" s="68">
        <f>$K28*'05_Params'!$B$4*POWER(1+$N28,'05_Params'!$B$15/12)*MIN($L28,'05_Params'!$B$15*30.44)*(1+$M28)</f>
        <v/>
      </c>
      <c r="S28" s="68">
        <f>$K28*'05_Params'!$B$4*POWER(1+$N28,'05_Params'!$B$16/12)*MIN($L28,'05_Params'!$B$16*30.44)*(1+$M28)</f>
        <v/>
      </c>
      <c r="T28" s="55" t="n">
        <v>0</v>
      </c>
      <c r="U28" s="55" t="n">
        <v>0</v>
      </c>
      <c r="V28" s="55" t="n">
        <v>0</v>
      </c>
      <c r="W28" s="56" t="n">
        <v>1</v>
      </c>
      <c r="X28" s="55" t="n">
        <v>0</v>
      </c>
      <c r="Y28" s="55" t="n">
        <v>0</v>
      </c>
      <c r="Z28" s="55" t="n">
        <v>0</v>
      </c>
      <c r="AA28" s="55" t="n">
        <v>0</v>
      </c>
      <c r="AB28" s="55" t="n">
        <v>0</v>
      </c>
      <c r="AC28" s="55" t="n">
        <v>0</v>
      </c>
    </row>
    <row r="29" ht="22" customHeight="1">
      <c r="A29" s="65" t="inlineStr">
        <is>
          <t>playwright-a11y</t>
        </is>
      </c>
      <c r="B29" s="66" t="inlineStr">
        <is>
          <t>Playwright + axe-core / pa11y-ci / Lighthouse CI (Accessibility)</t>
        </is>
      </c>
      <c r="C29" s="65" t="n">
        <v>4</v>
      </c>
      <c r="D29" s="65" t="inlineStr">
        <is>
          <t>async</t>
        </is>
      </c>
      <c r="E29" s="65" t="inlineStr">
        <is>
          <t>nightly</t>
        </is>
      </c>
      <c r="F29" s="65" t="n">
        <v>2</v>
      </c>
      <c r="G29" s="65" t="n">
        <v>4</v>
      </c>
      <c r="H29" s="65" t="n">
        <v>0</v>
      </c>
      <c r="I29" s="65" t="n">
        <v>0</v>
      </c>
      <c r="J29" s="65" t="n">
        <v>15</v>
      </c>
      <c r="K29" s="65" t="n">
        <v>0.05</v>
      </c>
      <c r="L29" s="65" t="n">
        <v>365</v>
      </c>
      <c r="M29" s="65" t="n">
        <v>0.05</v>
      </c>
      <c r="N29" s="65" t="n">
        <v>0.1</v>
      </c>
      <c r="O29" s="67">
        <f>INDEX('02_Freq_Weight'!$E$3:$E$9,MATCH(E29,'02_Freq_Weight'!$A$3:$A$9,0))</f>
        <v/>
      </c>
      <c r="P29" s="68">
        <f>$K29*'05_Params'!$B$4*POWER(1+$N29,'05_Params'!$B$13/12)*MIN($L29,'05_Params'!$B$13*30.44)*(1+$M29)</f>
        <v/>
      </c>
      <c r="Q29" s="68">
        <f>$K29*'05_Params'!$B$4*POWER(1+$N29,'05_Params'!$B$14/12)*MIN($L29,'05_Params'!$B$14*30.44)*(1+$M29)</f>
        <v/>
      </c>
      <c r="R29" s="68">
        <f>$K29*'05_Params'!$B$4*POWER(1+$N29,'05_Params'!$B$15/12)*MIN($L29,'05_Params'!$B$15*30.44)*(1+$M29)</f>
        <v/>
      </c>
      <c r="S29" s="68">
        <f>$K29*'05_Params'!$B$4*POWER(1+$N29,'05_Params'!$B$16/12)*MIN($L29,'05_Params'!$B$16*30.44)*(1+$M29)</f>
        <v/>
      </c>
      <c r="T29" s="55" t="n">
        <v>0</v>
      </c>
      <c r="U29" s="55" t="n">
        <v>0</v>
      </c>
      <c r="V29" s="55" t="n">
        <v>0</v>
      </c>
      <c r="W29" s="56" t="n">
        <v>1</v>
      </c>
      <c r="X29" s="55" t="n">
        <v>0</v>
      </c>
      <c r="Y29" s="55" t="n">
        <v>0</v>
      </c>
      <c r="Z29" s="55" t="n">
        <v>0</v>
      </c>
      <c r="AA29" s="55" t="n">
        <v>0</v>
      </c>
      <c r="AB29" s="55" t="n">
        <v>0</v>
      </c>
      <c r="AC29" s="55" t="n">
        <v>0</v>
      </c>
    </row>
    <row r="30" ht="22" customHeight="1">
      <c r="A30" s="65" t="inlineStr">
        <is>
          <t>testssl</t>
        </is>
      </c>
      <c r="B30" s="66" t="inlineStr">
        <is>
          <t>testssl.sh / sslyze / CBOMkit (TLS + Crypto Inventory)</t>
        </is>
      </c>
      <c r="C30" s="65" t="n">
        <v>4</v>
      </c>
      <c r="D30" s="65" t="inlineStr">
        <is>
          <t>async</t>
        </is>
      </c>
      <c r="E30" s="65" t="inlineStr">
        <is>
          <t>weekly</t>
        </is>
      </c>
      <c r="F30" s="65" t="n">
        <v>1</v>
      </c>
      <c r="G30" s="65" t="n">
        <v>2</v>
      </c>
      <c r="H30" s="65" t="n">
        <v>0</v>
      </c>
      <c r="I30" s="65" t="n">
        <v>0</v>
      </c>
      <c r="J30" s="65" t="n">
        <v>5</v>
      </c>
      <c r="K30" s="65" t="n">
        <v>0.01</v>
      </c>
      <c r="L30" s="65" t="n">
        <v>365</v>
      </c>
      <c r="M30" s="65" t="n">
        <v>0.05</v>
      </c>
      <c r="N30" s="65" t="n">
        <v>0.1</v>
      </c>
      <c r="O30" s="67">
        <f>INDEX('02_Freq_Weight'!$E$3:$E$9,MATCH(E30,'02_Freq_Weight'!$A$3:$A$9,0))</f>
        <v/>
      </c>
      <c r="P30" s="68">
        <f>$K30*'05_Params'!$B$4*POWER(1+$N30,'05_Params'!$B$13/12)*MIN($L30,'05_Params'!$B$13*30.44)*(1+$M30)</f>
        <v/>
      </c>
      <c r="Q30" s="68">
        <f>$K30*'05_Params'!$B$4*POWER(1+$N30,'05_Params'!$B$14/12)*MIN($L30,'05_Params'!$B$14*30.44)*(1+$M30)</f>
        <v/>
      </c>
      <c r="R30" s="68">
        <f>$K30*'05_Params'!$B$4*POWER(1+$N30,'05_Params'!$B$15/12)*MIN($L30,'05_Params'!$B$15*30.44)*(1+$M30)</f>
        <v/>
      </c>
      <c r="S30" s="68">
        <f>$K30*'05_Params'!$B$4*POWER(1+$N30,'05_Params'!$B$16/12)*MIN($L30,'05_Params'!$B$16*30.44)*(1+$M30)</f>
        <v/>
      </c>
      <c r="T30" s="55" t="n">
        <v>0</v>
      </c>
      <c r="U30" s="55" t="n">
        <v>0</v>
      </c>
      <c r="V30" s="55" t="n">
        <v>0</v>
      </c>
      <c r="W30" s="56" t="n">
        <v>1</v>
      </c>
      <c r="X30" s="55" t="n">
        <v>0</v>
      </c>
      <c r="Y30" s="55" t="n">
        <v>0</v>
      </c>
      <c r="Z30" s="55" t="n">
        <v>0</v>
      </c>
      <c r="AA30" s="55" t="n">
        <v>0</v>
      </c>
      <c r="AB30" s="55" t="n">
        <v>0</v>
      </c>
      <c r="AC30" s="55" t="n">
        <v>0</v>
      </c>
    </row>
    <row r="31" ht="22" customHeight="1">
      <c r="A31" s="69" t="inlineStr">
        <is>
          <t>harbor</t>
        </is>
      </c>
      <c r="B31" s="70" t="inlineStr">
        <is>
          <t>Harbor (Private Container Registry, CNCF Graduated)</t>
        </is>
      </c>
      <c r="C31" s="69" t="n">
        <v>5</v>
      </c>
      <c r="D31" s="69" t="inlineStr">
        <is>
          <t>resident</t>
        </is>
      </c>
      <c r="E31" s="69" t="inlineStr">
        <is>
          <t>resident</t>
        </is>
      </c>
      <c r="F31" s="69" t="n">
        <v>2</v>
      </c>
      <c r="G31" s="69" t="n">
        <v>4</v>
      </c>
      <c r="H31" s="69" t="n">
        <v>3</v>
      </c>
      <c r="I31" s="69" t="n">
        <v>1</v>
      </c>
      <c r="J31" s="69" t="n">
        <v>60</v>
      </c>
      <c r="K31" s="69" t="n">
        <v>1</v>
      </c>
      <c r="L31" s="69" t="n">
        <v>180</v>
      </c>
      <c r="M31" s="69" t="n">
        <v>0.2</v>
      </c>
      <c r="N31" s="69" t="n">
        <v>0.25</v>
      </c>
      <c r="O31" s="71">
        <f>INDEX('02_Freq_Weight'!$E$3:$E$9,MATCH(E31,'02_Freq_Weight'!$A$3:$A$9,0))</f>
        <v/>
      </c>
      <c r="P31" s="72">
        <f>$K31*'05_Params'!$B$4*POWER(1+$N31,'05_Params'!$B$13/12)*MIN($L31,'05_Params'!$B$13*30.44)*(1+$M31)</f>
        <v/>
      </c>
      <c r="Q31" s="72">
        <f>$K31*'05_Params'!$B$4*POWER(1+$N31,'05_Params'!$B$14/12)*MIN($L31,'05_Params'!$B$14*30.44)*(1+$M31)</f>
        <v/>
      </c>
      <c r="R31" s="72">
        <f>$K31*'05_Params'!$B$4*POWER(1+$N31,'05_Params'!$B$15/12)*MIN($L31,'05_Params'!$B$15*30.44)*(1+$M31)</f>
        <v/>
      </c>
      <c r="S31" s="72">
        <f>$K31*'05_Params'!$B$4*POWER(1+$N31,'05_Params'!$B$16/12)*MIN($L31,'05_Params'!$B$16*30.44)*(1+$M31)</f>
        <v/>
      </c>
      <c r="T31" s="55" t="n">
        <v>0</v>
      </c>
      <c r="U31" s="55" t="n">
        <v>0</v>
      </c>
      <c r="V31" s="55" t="n">
        <v>0</v>
      </c>
      <c r="W31" s="55" t="n">
        <v>0</v>
      </c>
      <c r="X31" s="56" t="n">
        <v>1</v>
      </c>
      <c r="Y31" s="55" t="n">
        <v>0</v>
      </c>
      <c r="Z31" s="55" t="n">
        <v>0</v>
      </c>
      <c r="AA31" s="55" t="n">
        <v>0</v>
      </c>
      <c r="AB31" s="55" t="n">
        <v>0</v>
      </c>
      <c r="AC31" s="55" t="n">
        <v>0</v>
      </c>
    </row>
    <row r="32" ht="22" customHeight="1">
      <c r="A32" s="69" t="inlineStr">
        <is>
          <t>minio</t>
        </is>
      </c>
      <c r="B32" s="70" t="inlineStr">
        <is>
          <t>MinIO (S3-compatible Object Storage)</t>
        </is>
      </c>
      <c r="C32" s="69" t="n">
        <v>5</v>
      </c>
      <c r="D32" s="69" t="inlineStr">
        <is>
          <t>resident</t>
        </is>
      </c>
      <c r="E32" s="69" t="inlineStr">
        <is>
          <t>resident</t>
        </is>
      </c>
      <c r="F32" s="69" t="n">
        <v>2</v>
      </c>
      <c r="G32" s="69" t="n">
        <v>4</v>
      </c>
      <c r="H32" s="69" t="n">
        <v>1.5</v>
      </c>
      <c r="I32" s="69" t="n">
        <v>1</v>
      </c>
      <c r="J32" s="69" t="n">
        <v>20</v>
      </c>
      <c r="K32" s="69" t="n">
        <v>1</v>
      </c>
      <c r="L32" s="69" t="n">
        <v>180</v>
      </c>
      <c r="M32" s="69" t="n">
        <v>0.15</v>
      </c>
      <c r="N32" s="69" t="n">
        <v>0.25</v>
      </c>
      <c r="O32" s="71">
        <f>INDEX('02_Freq_Weight'!$E$3:$E$9,MATCH(E32,'02_Freq_Weight'!$A$3:$A$9,0))</f>
        <v/>
      </c>
      <c r="P32" s="72">
        <f>$K32*'05_Params'!$B$4*POWER(1+$N32,'05_Params'!$B$13/12)*MIN($L32,'05_Params'!$B$13*30.44)*(1+$M32)</f>
        <v/>
      </c>
      <c r="Q32" s="72">
        <f>$K32*'05_Params'!$B$4*POWER(1+$N32,'05_Params'!$B$14/12)*MIN($L32,'05_Params'!$B$14*30.44)*(1+$M32)</f>
        <v/>
      </c>
      <c r="R32" s="72">
        <f>$K32*'05_Params'!$B$4*POWER(1+$N32,'05_Params'!$B$15/12)*MIN($L32,'05_Params'!$B$15*30.44)*(1+$M32)</f>
        <v/>
      </c>
      <c r="S32" s="72">
        <f>$K32*'05_Params'!$B$4*POWER(1+$N32,'05_Params'!$B$16/12)*MIN($L32,'05_Params'!$B$16*30.44)*(1+$M32)</f>
        <v/>
      </c>
      <c r="T32" s="55" t="n">
        <v>0</v>
      </c>
      <c r="U32" s="55" t="n">
        <v>0</v>
      </c>
      <c r="V32" s="55" t="n">
        <v>0</v>
      </c>
      <c r="W32" s="55" t="n">
        <v>0</v>
      </c>
      <c r="X32" s="56" t="n">
        <v>1</v>
      </c>
      <c r="Y32" s="55" t="n">
        <v>0</v>
      </c>
      <c r="Z32" s="55" t="n">
        <v>0</v>
      </c>
      <c r="AA32" s="55" t="n">
        <v>0</v>
      </c>
      <c r="AB32" s="55" t="n">
        <v>0</v>
      </c>
      <c r="AC32" s="55" t="n">
        <v>0</v>
      </c>
    </row>
    <row r="33" ht="22" customHeight="1">
      <c r="A33" s="69" t="inlineStr">
        <is>
          <t>elasticsearch</t>
        </is>
      </c>
      <c r="B33" s="70" t="inlineStr">
        <is>
          <t>Elasticsearch (Log / Audit Trail Index)</t>
        </is>
      </c>
      <c r="C33" s="69" t="n">
        <v>5</v>
      </c>
      <c r="D33" s="69" t="inlineStr">
        <is>
          <t>resident</t>
        </is>
      </c>
      <c r="E33" s="69" t="inlineStr">
        <is>
          <t>resident</t>
        </is>
      </c>
      <c r="F33" s="69" t="n">
        <v>2</v>
      </c>
      <c r="G33" s="69" t="n">
        <v>4</v>
      </c>
      <c r="H33" s="69" t="n">
        <v>3.5</v>
      </c>
      <c r="I33" s="69" t="n">
        <v>1</v>
      </c>
      <c r="J33" s="69" t="n">
        <v>40</v>
      </c>
      <c r="K33" s="69" t="n">
        <v>1.5</v>
      </c>
      <c r="L33" s="69" t="n">
        <v>90</v>
      </c>
      <c r="M33" s="69" t="n">
        <v>0.45</v>
      </c>
      <c r="N33" s="69" t="n">
        <v>0.3</v>
      </c>
      <c r="O33" s="71">
        <f>INDEX('02_Freq_Weight'!$E$3:$E$9,MATCH(E33,'02_Freq_Weight'!$A$3:$A$9,0))</f>
        <v/>
      </c>
      <c r="P33" s="72">
        <f>$K33*'05_Params'!$B$4*POWER(1+$N33,'05_Params'!$B$13/12)*MIN($L33,'05_Params'!$B$13*30.44)*(1+$M33)</f>
        <v/>
      </c>
      <c r="Q33" s="72">
        <f>$K33*'05_Params'!$B$4*POWER(1+$N33,'05_Params'!$B$14/12)*MIN($L33,'05_Params'!$B$14*30.44)*(1+$M33)</f>
        <v/>
      </c>
      <c r="R33" s="72">
        <f>$K33*'05_Params'!$B$4*POWER(1+$N33,'05_Params'!$B$15/12)*MIN($L33,'05_Params'!$B$15*30.44)*(1+$M33)</f>
        <v/>
      </c>
      <c r="S33" s="72">
        <f>$K33*'05_Params'!$B$4*POWER(1+$N33,'05_Params'!$B$16/12)*MIN($L33,'05_Params'!$B$16*30.44)*(1+$M33)</f>
        <v/>
      </c>
      <c r="T33" s="55" t="n">
        <v>0</v>
      </c>
      <c r="U33" s="55" t="n">
        <v>0</v>
      </c>
      <c r="V33" s="55" t="n">
        <v>0</v>
      </c>
      <c r="W33" s="55" t="n">
        <v>0</v>
      </c>
      <c r="X33" s="56" t="n">
        <v>1</v>
      </c>
      <c r="Y33" s="55" t="n">
        <v>0</v>
      </c>
      <c r="Z33" s="55" t="n">
        <v>0</v>
      </c>
      <c r="AA33" s="55" t="n">
        <v>0</v>
      </c>
      <c r="AB33" s="55" t="n">
        <v>0</v>
      </c>
      <c r="AC33" s="55" t="n">
        <v>0</v>
      </c>
    </row>
    <row r="34" ht="22" customHeight="1">
      <c r="A34" s="69" t="inlineStr">
        <is>
          <t>logstash</t>
        </is>
      </c>
      <c r="B34" s="70" t="inlineStr">
        <is>
          <t>Logstash (Log Pipeline / Parser)</t>
        </is>
      </c>
      <c r="C34" s="69" t="n">
        <v>5</v>
      </c>
      <c r="D34" s="69" t="inlineStr">
        <is>
          <t>resident</t>
        </is>
      </c>
      <c r="E34" s="69" t="inlineStr">
        <is>
          <t>resident</t>
        </is>
      </c>
      <c r="F34" s="69" t="n">
        <v>2</v>
      </c>
      <c r="G34" s="69" t="n">
        <v>4</v>
      </c>
      <c r="H34" s="69" t="n">
        <v>1.5</v>
      </c>
      <c r="I34" s="69" t="n">
        <v>1</v>
      </c>
      <c r="J34" s="69" t="n">
        <v>15</v>
      </c>
      <c r="K34" s="69" t="n">
        <v>0.1</v>
      </c>
      <c r="L34" s="69" t="n">
        <v>30</v>
      </c>
      <c r="M34" s="69" t="n">
        <v>0.05</v>
      </c>
      <c r="N34" s="69" t="n">
        <v>0.2</v>
      </c>
      <c r="O34" s="71">
        <f>INDEX('02_Freq_Weight'!$E$3:$E$9,MATCH(E34,'02_Freq_Weight'!$A$3:$A$9,0))</f>
        <v/>
      </c>
      <c r="P34" s="72">
        <f>$K34*'05_Params'!$B$4*POWER(1+$N34,'05_Params'!$B$13/12)*MIN($L34,'05_Params'!$B$13*30.44)*(1+$M34)</f>
        <v/>
      </c>
      <c r="Q34" s="72">
        <f>$K34*'05_Params'!$B$4*POWER(1+$N34,'05_Params'!$B$14/12)*MIN($L34,'05_Params'!$B$14*30.44)*(1+$M34)</f>
        <v/>
      </c>
      <c r="R34" s="72">
        <f>$K34*'05_Params'!$B$4*POWER(1+$N34,'05_Params'!$B$15/12)*MIN($L34,'05_Params'!$B$15*30.44)*(1+$M34)</f>
        <v/>
      </c>
      <c r="S34" s="72">
        <f>$K34*'05_Params'!$B$4*POWER(1+$N34,'05_Params'!$B$16/12)*MIN($L34,'05_Params'!$B$16*30.44)*(1+$M34)</f>
        <v/>
      </c>
      <c r="T34" s="55" t="n">
        <v>0</v>
      </c>
      <c r="U34" s="55" t="n">
        <v>0</v>
      </c>
      <c r="V34" s="55" t="n">
        <v>0</v>
      </c>
      <c r="W34" s="55" t="n">
        <v>0</v>
      </c>
      <c r="X34" s="56" t="n">
        <v>1</v>
      </c>
      <c r="Y34" s="55" t="n">
        <v>0</v>
      </c>
      <c r="Z34" s="55" t="n">
        <v>0</v>
      </c>
      <c r="AA34" s="55" t="n">
        <v>0</v>
      </c>
      <c r="AB34" s="55" t="n">
        <v>0</v>
      </c>
      <c r="AC34" s="55" t="n">
        <v>0</v>
      </c>
    </row>
    <row r="35" ht="22" customHeight="1">
      <c r="A35" s="69" t="inlineStr">
        <is>
          <t>kibana</t>
        </is>
      </c>
      <c r="B35" s="70" t="inlineStr">
        <is>
          <t>Kibana (Log Visualization / Audit Review)</t>
        </is>
      </c>
      <c r="C35" s="69" t="n">
        <v>5</v>
      </c>
      <c r="D35" s="69" t="inlineStr">
        <is>
          <t>resident</t>
        </is>
      </c>
      <c r="E35" s="69" t="inlineStr">
        <is>
          <t>resident</t>
        </is>
      </c>
      <c r="F35" s="69" t="n">
        <v>1</v>
      </c>
      <c r="G35" s="69" t="n">
        <v>2</v>
      </c>
      <c r="H35" s="69" t="n">
        <v>1.2</v>
      </c>
      <c r="I35" s="69" t="n">
        <v>1</v>
      </c>
      <c r="J35" s="69" t="n">
        <v>10</v>
      </c>
      <c r="K35" s="69" t="n">
        <v>0.05</v>
      </c>
      <c r="L35" s="69" t="n">
        <v>90</v>
      </c>
      <c r="M35" s="69" t="n">
        <v>0.05</v>
      </c>
      <c r="N35" s="69" t="n">
        <v>0.15</v>
      </c>
      <c r="O35" s="71">
        <f>INDEX('02_Freq_Weight'!$E$3:$E$9,MATCH(E35,'02_Freq_Weight'!$A$3:$A$9,0))</f>
        <v/>
      </c>
      <c r="P35" s="72">
        <f>$K35*'05_Params'!$B$4*POWER(1+$N35,'05_Params'!$B$13/12)*MIN($L35,'05_Params'!$B$13*30.44)*(1+$M35)</f>
        <v/>
      </c>
      <c r="Q35" s="72">
        <f>$K35*'05_Params'!$B$4*POWER(1+$N35,'05_Params'!$B$14/12)*MIN($L35,'05_Params'!$B$14*30.44)*(1+$M35)</f>
        <v/>
      </c>
      <c r="R35" s="72">
        <f>$K35*'05_Params'!$B$4*POWER(1+$N35,'05_Params'!$B$15/12)*MIN($L35,'05_Params'!$B$15*30.44)*(1+$M35)</f>
        <v/>
      </c>
      <c r="S35" s="72">
        <f>$K35*'05_Params'!$B$4*POWER(1+$N35,'05_Params'!$B$16/12)*MIN($L35,'05_Params'!$B$16*30.44)*(1+$M35)</f>
        <v/>
      </c>
      <c r="T35" s="55" t="n">
        <v>0</v>
      </c>
      <c r="U35" s="55" t="n">
        <v>0</v>
      </c>
      <c r="V35" s="55" t="n">
        <v>0</v>
      </c>
      <c r="W35" s="55" t="n">
        <v>0</v>
      </c>
      <c r="X35" s="56" t="n">
        <v>1</v>
      </c>
      <c r="Y35" s="55" t="n">
        <v>0</v>
      </c>
      <c r="Z35" s="55" t="n">
        <v>0</v>
      </c>
      <c r="AA35" s="55" t="n">
        <v>0</v>
      </c>
      <c r="AB35" s="55" t="n">
        <v>0</v>
      </c>
      <c r="AC35" s="55" t="n">
        <v>0</v>
      </c>
    </row>
    <row r="36" ht="22" customHeight="1">
      <c r="A36" s="69" t="inlineStr">
        <is>
          <t>filebeat</t>
        </is>
      </c>
      <c r="B36" s="70" t="inlineStr">
        <is>
          <t>Filebeat (Log Shipper ต่อเครื่อง)</t>
        </is>
      </c>
      <c r="C36" s="69" t="n">
        <v>5</v>
      </c>
      <c r="D36" s="69" t="inlineStr">
        <is>
          <t>resident</t>
        </is>
      </c>
      <c r="E36" s="69" t="inlineStr">
        <is>
          <t>resident</t>
        </is>
      </c>
      <c r="F36" s="69" t="n">
        <v>1</v>
      </c>
      <c r="G36" s="69" t="n">
        <v>1</v>
      </c>
      <c r="H36" s="69" t="n">
        <v>0.15</v>
      </c>
      <c r="I36" s="69" t="n">
        <v>1</v>
      </c>
      <c r="J36" s="69" t="n">
        <v>5</v>
      </c>
      <c r="K36" s="69" t="n">
        <v>0.02</v>
      </c>
      <c r="L36" s="69" t="n">
        <v>7</v>
      </c>
      <c r="M36" s="69" t="n">
        <v>0.05</v>
      </c>
      <c r="N36" s="69" t="n">
        <v>0.2</v>
      </c>
      <c r="O36" s="71">
        <f>INDEX('02_Freq_Weight'!$E$3:$E$9,MATCH(E36,'02_Freq_Weight'!$A$3:$A$9,0))</f>
        <v/>
      </c>
      <c r="P36" s="72">
        <f>$K36*'05_Params'!$B$4*POWER(1+$N36,'05_Params'!$B$13/12)*MIN($L36,'05_Params'!$B$13*30.44)*(1+$M36)</f>
        <v/>
      </c>
      <c r="Q36" s="72">
        <f>$K36*'05_Params'!$B$4*POWER(1+$N36,'05_Params'!$B$14/12)*MIN($L36,'05_Params'!$B$14*30.44)*(1+$M36)</f>
        <v/>
      </c>
      <c r="R36" s="72">
        <f>$K36*'05_Params'!$B$4*POWER(1+$N36,'05_Params'!$B$15/12)*MIN($L36,'05_Params'!$B$15*30.44)*(1+$M36)</f>
        <v/>
      </c>
      <c r="S36" s="72">
        <f>$K36*'05_Params'!$B$4*POWER(1+$N36,'05_Params'!$B$16/12)*MIN($L36,'05_Params'!$B$16*30.44)*(1+$M36)</f>
        <v/>
      </c>
      <c r="T36" s="56" t="n">
        <v>1</v>
      </c>
      <c r="U36" s="56" t="n">
        <v>1</v>
      </c>
      <c r="V36" s="56" t="n">
        <v>1</v>
      </c>
      <c r="W36" s="56" t="n">
        <v>1</v>
      </c>
      <c r="X36" s="56" t="n">
        <v>1</v>
      </c>
      <c r="Y36" s="56" t="n">
        <v>1</v>
      </c>
      <c r="Z36" s="55" t="n">
        <v>0</v>
      </c>
      <c r="AA36" s="55" t="n">
        <v>0</v>
      </c>
      <c r="AB36" s="55" t="n">
        <v>0</v>
      </c>
      <c r="AC36" s="55" t="n">
        <v>0</v>
      </c>
    </row>
    <row r="37" ht="22" customHeight="1">
      <c r="A37" s="69" t="inlineStr">
        <is>
          <t>wazuh</t>
        </is>
      </c>
      <c r="B37" s="70" t="inlineStr">
        <is>
          <t>Wazuh (SIEM / HIDS + Alerting)</t>
        </is>
      </c>
      <c r="C37" s="69" t="n">
        <v>5</v>
      </c>
      <c r="D37" s="69" t="inlineStr">
        <is>
          <t>resident</t>
        </is>
      </c>
      <c r="E37" s="69" t="inlineStr">
        <is>
          <t>resident</t>
        </is>
      </c>
      <c r="F37" s="69" t="n">
        <v>4</v>
      </c>
      <c r="G37" s="69" t="n">
        <v>8</v>
      </c>
      <c r="H37" s="69" t="n">
        <v>6</v>
      </c>
      <c r="I37" s="69" t="n">
        <v>1</v>
      </c>
      <c r="J37" s="69" t="n">
        <v>50</v>
      </c>
      <c r="K37" s="69" t="n">
        <v>1</v>
      </c>
      <c r="L37" s="69" t="n">
        <v>90</v>
      </c>
      <c r="M37" s="69" t="n">
        <v>0.4</v>
      </c>
      <c r="N37" s="69" t="n">
        <v>0.3</v>
      </c>
      <c r="O37" s="71">
        <f>INDEX('02_Freq_Weight'!$E$3:$E$9,MATCH(E37,'02_Freq_Weight'!$A$3:$A$9,0))</f>
        <v/>
      </c>
      <c r="P37" s="72">
        <f>$K37*'05_Params'!$B$4*POWER(1+$N37,'05_Params'!$B$13/12)*MIN($L37,'05_Params'!$B$13*30.44)*(1+$M37)</f>
        <v/>
      </c>
      <c r="Q37" s="72">
        <f>$K37*'05_Params'!$B$4*POWER(1+$N37,'05_Params'!$B$14/12)*MIN($L37,'05_Params'!$B$14*30.44)*(1+$M37)</f>
        <v/>
      </c>
      <c r="R37" s="72">
        <f>$K37*'05_Params'!$B$4*POWER(1+$N37,'05_Params'!$B$15/12)*MIN($L37,'05_Params'!$B$15*30.44)*(1+$M37)</f>
        <v/>
      </c>
      <c r="S37" s="72">
        <f>$K37*'05_Params'!$B$4*POWER(1+$N37,'05_Params'!$B$16/12)*MIN($L37,'05_Params'!$B$16*30.44)*(1+$M37)</f>
        <v/>
      </c>
      <c r="T37" s="55" t="n">
        <v>0</v>
      </c>
      <c r="U37" s="55" t="n">
        <v>0</v>
      </c>
      <c r="V37" s="55" t="n">
        <v>0</v>
      </c>
      <c r="W37" s="55" t="n">
        <v>0</v>
      </c>
      <c r="X37" s="55" t="n">
        <v>0</v>
      </c>
      <c r="Y37" s="55" t="n">
        <v>0</v>
      </c>
      <c r="Z37" s="55" t="n">
        <v>0</v>
      </c>
      <c r="AA37" s="55" t="n">
        <v>0</v>
      </c>
      <c r="AB37" s="55" t="n">
        <v>0</v>
      </c>
      <c r="AC37" s="55" t="n">
        <v>0</v>
      </c>
    </row>
    <row r="38" ht="22" customHeight="1">
      <c r="A38" s="69" t="inlineStr">
        <is>
          <t>vault</t>
        </is>
      </c>
      <c r="B38" s="70" t="inlineStr">
        <is>
          <t>HashiCorp Vault / OpenBao (Secret Management)</t>
        </is>
      </c>
      <c r="C38" s="69" t="n">
        <v>5</v>
      </c>
      <c r="D38" s="69" t="inlineStr">
        <is>
          <t>resident</t>
        </is>
      </c>
      <c r="E38" s="69" t="inlineStr">
        <is>
          <t>resident</t>
        </is>
      </c>
      <c r="F38" s="69" t="n">
        <v>2</v>
      </c>
      <c r="G38" s="69" t="n">
        <v>4</v>
      </c>
      <c r="H38" s="69" t="n">
        <v>1</v>
      </c>
      <c r="I38" s="69" t="n">
        <v>1</v>
      </c>
      <c r="J38" s="69" t="n">
        <v>20</v>
      </c>
      <c r="K38" s="69" t="n">
        <v>0.05</v>
      </c>
      <c r="L38" s="69" t="n">
        <v>2555</v>
      </c>
      <c r="M38" s="69" t="n">
        <v>0.1</v>
      </c>
      <c r="N38" s="69" t="n">
        <v>0.15</v>
      </c>
      <c r="O38" s="71">
        <f>INDEX('02_Freq_Weight'!$E$3:$E$9,MATCH(E38,'02_Freq_Weight'!$A$3:$A$9,0))</f>
        <v/>
      </c>
      <c r="P38" s="72">
        <f>$K38*'05_Params'!$B$4*POWER(1+$N38,'05_Params'!$B$13/12)*MIN($L38,'05_Params'!$B$13*30.44)*(1+$M38)</f>
        <v/>
      </c>
      <c r="Q38" s="72">
        <f>$K38*'05_Params'!$B$4*POWER(1+$N38,'05_Params'!$B$14/12)*MIN($L38,'05_Params'!$B$14*30.44)*(1+$M38)</f>
        <v/>
      </c>
      <c r="R38" s="72">
        <f>$K38*'05_Params'!$B$4*POWER(1+$N38,'05_Params'!$B$15/12)*MIN($L38,'05_Params'!$B$15*30.44)*(1+$M38)</f>
        <v/>
      </c>
      <c r="S38" s="72">
        <f>$K38*'05_Params'!$B$4*POWER(1+$N38,'05_Params'!$B$16/12)*MIN($L38,'05_Params'!$B$16*30.44)*(1+$M38)</f>
        <v/>
      </c>
      <c r="T38" s="55" t="n">
        <v>0</v>
      </c>
      <c r="U38" s="55" t="n">
        <v>0</v>
      </c>
      <c r="V38" s="55" t="n">
        <v>0</v>
      </c>
      <c r="W38" s="55" t="n">
        <v>0</v>
      </c>
      <c r="X38" s="56" t="n">
        <v>1</v>
      </c>
      <c r="Y38" s="55" t="n">
        <v>0</v>
      </c>
      <c r="Z38" s="55" t="n">
        <v>0</v>
      </c>
      <c r="AA38" s="55" t="n">
        <v>0</v>
      </c>
      <c r="AB38" s="55" t="n">
        <v>0</v>
      </c>
      <c r="AC38" s="55" t="n">
        <v>0</v>
      </c>
    </row>
    <row r="39" ht="22" customHeight="1">
      <c r="A39" s="73" t="inlineStr">
        <is>
          <t>k3s-control</t>
        </is>
      </c>
      <c r="B39" s="74" t="inlineStr">
        <is>
          <t>Kubernetes / K3s Control Plane (ต่อ 1 Node)</t>
        </is>
      </c>
      <c r="C39" s="73" t="n">
        <v>6</v>
      </c>
      <c r="D39" s="73" t="inlineStr">
        <is>
          <t>resident</t>
        </is>
      </c>
      <c r="E39" s="73" t="inlineStr">
        <is>
          <t>resident</t>
        </is>
      </c>
      <c r="F39" s="73" t="n">
        <v>2</v>
      </c>
      <c r="G39" s="73" t="n">
        <v>4</v>
      </c>
      <c r="H39" s="73" t="n">
        <v>2.5</v>
      </c>
      <c r="I39" s="73" t="n">
        <v>1</v>
      </c>
      <c r="J39" s="73" t="n">
        <v>40</v>
      </c>
      <c r="K39" s="73" t="n">
        <v>0.3</v>
      </c>
      <c r="L39" s="73" t="n">
        <v>90</v>
      </c>
      <c r="M39" s="73" t="n">
        <v>0.15</v>
      </c>
      <c r="N39" s="73" t="n">
        <v>0.2</v>
      </c>
      <c r="O39" s="75">
        <f>INDEX('02_Freq_Weight'!$E$3:$E$9,MATCH(E39,'02_Freq_Weight'!$A$3:$A$9,0))</f>
        <v/>
      </c>
      <c r="P39" s="76">
        <f>$K39*'05_Params'!$B$4*POWER(1+$N39,'05_Params'!$B$13/12)*MIN($L39,'05_Params'!$B$13*30.44)*(1+$M39)</f>
        <v/>
      </c>
      <c r="Q39" s="76">
        <f>$K39*'05_Params'!$B$4*POWER(1+$N39,'05_Params'!$B$14/12)*MIN($L39,'05_Params'!$B$14*30.44)*(1+$M39)</f>
        <v/>
      </c>
      <c r="R39" s="76">
        <f>$K39*'05_Params'!$B$4*POWER(1+$N39,'05_Params'!$B$15/12)*MIN($L39,'05_Params'!$B$15*30.44)*(1+$M39)</f>
        <v/>
      </c>
      <c r="S39" s="76">
        <f>$K39*'05_Params'!$B$4*POWER(1+$N39,'05_Params'!$B$16/12)*MIN($L39,'05_Params'!$B$16*30.44)*(1+$M39)</f>
        <v/>
      </c>
      <c r="T39" s="55" t="n">
        <v>0</v>
      </c>
      <c r="U39" s="55" t="n">
        <v>0</v>
      </c>
      <c r="V39" s="55" t="n">
        <v>0</v>
      </c>
      <c r="W39" s="55" t="n">
        <v>0</v>
      </c>
      <c r="X39" s="55" t="n">
        <v>0</v>
      </c>
      <c r="Y39" s="56" t="n">
        <v>1</v>
      </c>
      <c r="Z39" s="55" t="n">
        <v>0</v>
      </c>
      <c r="AA39" s="55" t="n">
        <v>0</v>
      </c>
      <c r="AB39" s="55" t="n">
        <v>0</v>
      </c>
      <c r="AC39" s="55" t="n">
        <v>0</v>
      </c>
    </row>
    <row r="40" ht="22" customHeight="1">
      <c r="A40" s="73" t="inlineStr">
        <is>
          <t>argocd</t>
        </is>
      </c>
      <c r="B40" s="74" t="inlineStr">
        <is>
          <t>Argo CD / Flux (GitOps Continuous Delivery)</t>
        </is>
      </c>
      <c r="C40" s="73" t="n">
        <v>6</v>
      </c>
      <c r="D40" s="73" t="inlineStr">
        <is>
          <t>resident</t>
        </is>
      </c>
      <c r="E40" s="73" t="inlineStr">
        <is>
          <t>resident</t>
        </is>
      </c>
      <c r="F40" s="73" t="n">
        <v>2</v>
      </c>
      <c r="G40" s="73" t="n">
        <v>4</v>
      </c>
      <c r="H40" s="73" t="n">
        <v>2</v>
      </c>
      <c r="I40" s="73" t="n">
        <v>1</v>
      </c>
      <c r="J40" s="73" t="n">
        <v>20</v>
      </c>
      <c r="K40" s="73" t="n">
        <v>0.1</v>
      </c>
      <c r="L40" s="73" t="n">
        <v>365</v>
      </c>
      <c r="M40" s="73" t="n">
        <v>0.1</v>
      </c>
      <c r="N40" s="73" t="n">
        <v>0.15</v>
      </c>
      <c r="O40" s="75">
        <f>INDEX('02_Freq_Weight'!$E$3:$E$9,MATCH(E40,'02_Freq_Weight'!$A$3:$A$9,0))</f>
        <v/>
      </c>
      <c r="P40" s="76">
        <f>$K40*'05_Params'!$B$4*POWER(1+$N40,'05_Params'!$B$13/12)*MIN($L40,'05_Params'!$B$13*30.44)*(1+$M40)</f>
        <v/>
      </c>
      <c r="Q40" s="76">
        <f>$K40*'05_Params'!$B$4*POWER(1+$N40,'05_Params'!$B$14/12)*MIN($L40,'05_Params'!$B$14*30.44)*(1+$M40)</f>
        <v/>
      </c>
      <c r="R40" s="76">
        <f>$K40*'05_Params'!$B$4*POWER(1+$N40,'05_Params'!$B$15/12)*MIN($L40,'05_Params'!$B$15*30.44)*(1+$M40)</f>
        <v/>
      </c>
      <c r="S40" s="76">
        <f>$K40*'05_Params'!$B$4*POWER(1+$N40,'05_Params'!$B$16/12)*MIN($L40,'05_Params'!$B$16*30.44)*(1+$M40)</f>
        <v/>
      </c>
      <c r="T40" s="55" t="n">
        <v>0</v>
      </c>
      <c r="U40" s="55" t="n">
        <v>0</v>
      </c>
      <c r="V40" s="55" t="n">
        <v>0</v>
      </c>
      <c r="W40" s="55" t="n">
        <v>0</v>
      </c>
      <c r="X40" s="55" t="n">
        <v>0</v>
      </c>
      <c r="Y40" s="56" t="n">
        <v>1</v>
      </c>
      <c r="Z40" s="55" t="n">
        <v>0</v>
      </c>
      <c r="AA40" s="55" t="n">
        <v>0</v>
      </c>
      <c r="AB40" s="55" t="n">
        <v>0</v>
      </c>
      <c r="AC40" s="55" t="n">
        <v>0</v>
      </c>
    </row>
    <row r="41" ht="22" customHeight="1">
      <c r="A41" s="73" t="inlineStr">
        <is>
          <t>falco</t>
        </is>
      </c>
      <c r="B41" s="74" t="inlineStr">
        <is>
          <t>Falco (Runtime Security Monitoring, ต่อ Node)</t>
        </is>
      </c>
      <c r="C41" s="73" t="n">
        <v>6</v>
      </c>
      <c r="D41" s="73" t="inlineStr">
        <is>
          <t>resident</t>
        </is>
      </c>
      <c r="E41" s="73" t="inlineStr">
        <is>
          <t>resident</t>
        </is>
      </c>
      <c r="F41" s="73" t="n">
        <v>1</v>
      </c>
      <c r="G41" s="73" t="n">
        <v>2</v>
      </c>
      <c r="H41" s="73" t="n">
        <v>0.8</v>
      </c>
      <c r="I41" s="73" t="n">
        <v>1</v>
      </c>
      <c r="J41" s="73" t="n">
        <v>10</v>
      </c>
      <c r="K41" s="73" t="n">
        <v>0.3</v>
      </c>
      <c r="L41" s="73" t="n">
        <v>90</v>
      </c>
      <c r="M41" s="73" t="n">
        <v>0.2</v>
      </c>
      <c r="N41" s="73" t="n">
        <v>0.25</v>
      </c>
      <c r="O41" s="75">
        <f>INDEX('02_Freq_Weight'!$E$3:$E$9,MATCH(E41,'02_Freq_Weight'!$A$3:$A$9,0))</f>
        <v/>
      </c>
      <c r="P41" s="76">
        <f>$K41*'05_Params'!$B$4*POWER(1+$N41,'05_Params'!$B$13/12)*MIN($L41,'05_Params'!$B$13*30.44)*(1+$M41)</f>
        <v/>
      </c>
      <c r="Q41" s="76">
        <f>$K41*'05_Params'!$B$4*POWER(1+$N41,'05_Params'!$B$14/12)*MIN($L41,'05_Params'!$B$14*30.44)*(1+$M41)</f>
        <v/>
      </c>
      <c r="R41" s="76">
        <f>$K41*'05_Params'!$B$4*POWER(1+$N41,'05_Params'!$B$15/12)*MIN($L41,'05_Params'!$B$15*30.44)*(1+$M41)</f>
        <v/>
      </c>
      <c r="S41" s="76">
        <f>$K41*'05_Params'!$B$4*POWER(1+$N41,'05_Params'!$B$16/12)*MIN($L41,'05_Params'!$B$16*30.44)*(1+$M41)</f>
        <v/>
      </c>
      <c r="T41" s="55" t="n">
        <v>0</v>
      </c>
      <c r="U41" s="55" t="n">
        <v>0</v>
      </c>
      <c r="V41" s="55" t="n">
        <v>0</v>
      </c>
      <c r="W41" s="55" t="n">
        <v>0</v>
      </c>
      <c r="X41" s="55" t="n">
        <v>0</v>
      </c>
      <c r="Y41" s="56" t="n">
        <v>1</v>
      </c>
      <c r="Z41" s="55" t="n">
        <v>0</v>
      </c>
      <c r="AA41" s="55" t="n">
        <v>0</v>
      </c>
      <c r="AB41" s="55" t="n">
        <v>0</v>
      </c>
      <c r="AC41" s="55" t="n">
        <v>0</v>
      </c>
    </row>
    <row r="42" ht="22" customHeight="1">
      <c r="A42" s="73" t="inlineStr">
        <is>
          <t>prometheus</t>
        </is>
      </c>
      <c r="B42" s="74" t="inlineStr">
        <is>
          <t>Prometheus (Metrics &amp; Alerting)</t>
        </is>
      </c>
      <c r="C42" s="73" t="n">
        <v>6</v>
      </c>
      <c r="D42" s="73" t="inlineStr">
        <is>
          <t>resident</t>
        </is>
      </c>
      <c r="E42" s="73" t="inlineStr">
        <is>
          <t>resident</t>
        </is>
      </c>
      <c r="F42" s="73" t="n">
        <v>2</v>
      </c>
      <c r="G42" s="73" t="n">
        <v>4</v>
      </c>
      <c r="H42" s="73" t="n">
        <v>2.5</v>
      </c>
      <c r="I42" s="73" t="n">
        <v>1</v>
      </c>
      <c r="J42" s="73" t="n">
        <v>40</v>
      </c>
      <c r="K42" s="73" t="n">
        <v>0.8</v>
      </c>
      <c r="L42" s="73" t="n">
        <v>90</v>
      </c>
      <c r="M42" s="73" t="n">
        <v>0.1</v>
      </c>
      <c r="N42" s="73" t="n">
        <v>0.3</v>
      </c>
      <c r="O42" s="75">
        <f>INDEX('02_Freq_Weight'!$E$3:$E$9,MATCH(E42,'02_Freq_Weight'!$A$3:$A$9,0))</f>
        <v/>
      </c>
      <c r="P42" s="76">
        <f>$K42*'05_Params'!$B$4*POWER(1+$N42,'05_Params'!$B$13/12)*MIN($L42,'05_Params'!$B$13*30.44)*(1+$M42)</f>
        <v/>
      </c>
      <c r="Q42" s="76">
        <f>$K42*'05_Params'!$B$4*POWER(1+$N42,'05_Params'!$B$14/12)*MIN($L42,'05_Params'!$B$14*30.44)*(1+$M42)</f>
        <v/>
      </c>
      <c r="R42" s="76">
        <f>$K42*'05_Params'!$B$4*POWER(1+$N42,'05_Params'!$B$15/12)*MIN($L42,'05_Params'!$B$15*30.44)*(1+$M42)</f>
        <v/>
      </c>
      <c r="S42" s="76">
        <f>$K42*'05_Params'!$B$4*POWER(1+$N42,'05_Params'!$B$16/12)*MIN($L42,'05_Params'!$B$16*30.44)*(1+$M42)</f>
        <v/>
      </c>
      <c r="T42" s="55" t="n">
        <v>0</v>
      </c>
      <c r="U42" s="55" t="n">
        <v>0</v>
      </c>
      <c r="V42" s="55" t="n">
        <v>0</v>
      </c>
      <c r="W42" s="55" t="n">
        <v>0</v>
      </c>
      <c r="X42" s="55" t="n">
        <v>0</v>
      </c>
      <c r="Y42" s="56" t="n">
        <v>1</v>
      </c>
      <c r="Z42" s="55" t="n">
        <v>0</v>
      </c>
      <c r="AA42" s="55" t="n">
        <v>0</v>
      </c>
      <c r="AB42" s="55" t="n">
        <v>0</v>
      </c>
      <c r="AC42" s="55" t="n">
        <v>0</v>
      </c>
    </row>
    <row r="43" ht="22" customHeight="1">
      <c r="A43" s="73" t="inlineStr">
        <is>
          <t>grafana</t>
        </is>
      </c>
      <c r="B43" s="74" t="inlineStr">
        <is>
          <t>Grafana (Dashboard)</t>
        </is>
      </c>
      <c r="C43" s="73" t="n">
        <v>6</v>
      </c>
      <c r="D43" s="73" t="inlineStr">
        <is>
          <t>resident</t>
        </is>
      </c>
      <c r="E43" s="73" t="inlineStr">
        <is>
          <t>resident</t>
        </is>
      </c>
      <c r="F43" s="73" t="n">
        <v>1</v>
      </c>
      <c r="G43" s="73" t="n">
        <v>2</v>
      </c>
      <c r="H43" s="73" t="n">
        <v>0.6</v>
      </c>
      <c r="I43" s="73" t="n">
        <v>1</v>
      </c>
      <c r="J43" s="73" t="n">
        <v>10</v>
      </c>
      <c r="K43" s="73" t="n">
        <v>0.02</v>
      </c>
      <c r="L43" s="73" t="n">
        <v>365</v>
      </c>
      <c r="M43" s="73" t="n">
        <v>0.05</v>
      </c>
      <c r="N43" s="73" t="n">
        <v>0.15</v>
      </c>
      <c r="O43" s="75">
        <f>INDEX('02_Freq_Weight'!$E$3:$E$9,MATCH(E43,'02_Freq_Weight'!$A$3:$A$9,0))</f>
        <v/>
      </c>
      <c r="P43" s="76">
        <f>$K43*'05_Params'!$B$4*POWER(1+$N43,'05_Params'!$B$13/12)*MIN($L43,'05_Params'!$B$13*30.44)*(1+$M43)</f>
        <v/>
      </c>
      <c r="Q43" s="76">
        <f>$K43*'05_Params'!$B$4*POWER(1+$N43,'05_Params'!$B$14/12)*MIN($L43,'05_Params'!$B$14*30.44)*(1+$M43)</f>
        <v/>
      </c>
      <c r="R43" s="76">
        <f>$K43*'05_Params'!$B$4*POWER(1+$N43,'05_Params'!$B$15/12)*MIN($L43,'05_Params'!$B$15*30.44)*(1+$M43)</f>
        <v/>
      </c>
      <c r="S43" s="76">
        <f>$K43*'05_Params'!$B$4*POWER(1+$N43,'05_Params'!$B$16/12)*MIN($L43,'05_Params'!$B$16*30.44)*(1+$M43)</f>
        <v/>
      </c>
      <c r="T43" s="55" t="n">
        <v>0</v>
      </c>
      <c r="U43" s="55" t="n">
        <v>0</v>
      </c>
      <c r="V43" s="55" t="n">
        <v>0</v>
      </c>
      <c r="W43" s="55" t="n">
        <v>0</v>
      </c>
      <c r="X43" s="55" t="n">
        <v>0</v>
      </c>
      <c r="Y43" s="56" t="n">
        <v>1</v>
      </c>
      <c r="Z43" s="55" t="n">
        <v>0</v>
      </c>
      <c r="AA43" s="55" t="n">
        <v>0</v>
      </c>
      <c r="AB43" s="55" t="n">
        <v>0</v>
      </c>
      <c r="AC43" s="55" t="n">
        <v>0</v>
      </c>
    </row>
    <row r="44" ht="22" customHeight="1">
      <c r="A44" s="73" t="inlineStr">
        <is>
          <t>zabbix</t>
        </is>
      </c>
      <c r="B44" s="74" t="inlineStr">
        <is>
          <t>Zabbix Server (Infrastructure Monitoring)</t>
        </is>
      </c>
      <c r="C44" s="73" t="n">
        <v>6</v>
      </c>
      <c r="D44" s="73" t="inlineStr">
        <is>
          <t>resident</t>
        </is>
      </c>
      <c r="E44" s="73" t="inlineStr">
        <is>
          <t>resident</t>
        </is>
      </c>
      <c r="F44" s="73" t="n">
        <v>2</v>
      </c>
      <c r="G44" s="73" t="n">
        <v>4</v>
      </c>
      <c r="H44" s="73" t="n">
        <v>2</v>
      </c>
      <c r="I44" s="73" t="n">
        <v>1</v>
      </c>
      <c r="J44" s="73" t="n">
        <v>30</v>
      </c>
      <c r="K44" s="73" t="n">
        <v>0.4</v>
      </c>
      <c r="L44" s="73" t="n">
        <v>365</v>
      </c>
      <c r="M44" s="73" t="n">
        <v>0.25</v>
      </c>
      <c r="N44" s="73" t="n">
        <v>0.2</v>
      </c>
      <c r="O44" s="75">
        <f>INDEX('02_Freq_Weight'!$E$3:$E$9,MATCH(E44,'02_Freq_Weight'!$A$3:$A$9,0))</f>
        <v/>
      </c>
      <c r="P44" s="76">
        <f>$K44*'05_Params'!$B$4*POWER(1+$N44,'05_Params'!$B$13/12)*MIN($L44,'05_Params'!$B$13*30.44)*(1+$M44)</f>
        <v/>
      </c>
      <c r="Q44" s="76">
        <f>$K44*'05_Params'!$B$4*POWER(1+$N44,'05_Params'!$B$14/12)*MIN($L44,'05_Params'!$B$14*30.44)*(1+$M44)</f>
        <v/>
      </c>
      <c r="R44" s="76">
        <f>$K44*'05_Params'!$B$4*POWER(1+$N44,'05_Params'!$B$15/12)*MIN($L44,'05_Params'!$B$15*30.44)*(1+$M44)</f>
        <v/>
      </c>
      <c r="S44" s="76">
        <f>$K44*'05_Params'!$B$4*POWER(1+$N44,'05_Params'!$B$16/12)*MIN($L44,'05_Params'!$B$16*30.44)*(1+$M44)</f>
        <v/>
      </c>
      <c r="T44" s="55" t="n">
        <v>0</v>
      </c>
      <c r="U44" s="55" t="n">
        <v>0</v>
      </c>
      <c r="V44" s="55" t="n">
        <v>0</v>
      </c>
      <c r="W44" s="55" t="n">
        <v>0</v>
      </c>
      <c r="X44" s="55" t="n">
        <v>0</v>
      </c>
      <c r="Y44" s="55" t="n">
        <v>0</v>
      </c>
      <c r="Z44" s="55" t="n">
        <v>0</v>
      </c>
      <c r="AA44" s="55" t="n">
        <v>0</v>
      </c>
      <c r="AB44" s="55" t="n">
        <v>0</v>
      </c>
      <c r="AC44" s="55" t="n">
        <v>0</v>
      </c>
    </row>
    <row r="45" ht="22" customHeight="1">
      <c r="A45" s="73" t="inlineStr">
        <is>
          <t>ansible-chef</t>
        </is>
      </c>
      <c r="B45" s="74" t="inlineStr">
        <is>
          <t>Ansible / Chef Client (Config Management &amp; Hardening)</t>
        </is>
      </c>
      <c r="C45" s="73" t="n">
        <v>6</v>
      </c>
      <c r="D45" s="73" t="inlineStr">
        <is>
          <t>async</t>
        </is>
      </c>
      <c r="E45" s="73" t="inlineStr">
        <is>
          <t>nightly</t>
        </is>
      </c>
      <c r="F45" s="73" t="n">
        <v>1</v>
      </c>
      <c r="G45" s="73" t="n">
        <v>2</v>
      </c>
      <c r="H45" s="73" t="n">
        <v>0.1</v>
      </c>
      <c r="I45" s="73" t="n">
        <v>0</v>
      </c>
      <c r="J45" s="73" t="n">
        <v>15</v>
      </c>
      <c r="K45" s="73" t="n">
        <v>0.05</v>
      </c>
      <c r="L45" s="73" t="n">
        <v>365</v>
      </c>
      <c r="M45" s="73" t="n">
        <v>0.1</v>
      </c>
      <c r="N45" s="73" t="n">
        <v>0.15</v>
      </c>
      <c r="O45" s="75">
        <f>INDEX('02_Freq_Weight'!$E$3:$E$9,MATCH(E45,'02_Freq_Weight'!$A$3:$A$9,0))</f>
        <v/>
      </c>
      <c r="P45" s="76">
        <f>$K45*'05_Params'!$B$4*POWER(1+$N45,'05_Params'!$B$13/12)*MIN($L45,'05_Params'!$B$13*30.44)*(1+$M45)</f>
        <v/>
      </c>
      <c r="Q45" s="76">
        <f>$K45*'05_Params'!$B$4*POWER(1+$N45,'05_Params'!$B$14/12)*MIN($L45,'05_Params'!$B$14*30.44)*(1+$M45)</f>
        <v/>
      </c>
      <c r="R45" s="76">
        <f>$K45*'05_Params'!$B$4*POWER(1+$N45,'05_Params'!$B$15/12)*MIN($L45,'05_Params'!$B$15*30.44)*(1+$M45)</f>
        <v/>
      </c>
      <c r="S45" s="76">
        <f>$K45*'05_Params'!$B$4*POWER(1+$N45,'05_Params'!$B$16/12)*MIN($L45,'05_Params'!$B$16*30.44)*(1+$M45)</f>
        <v/>
      </c>
      <c r="T45" s="55" t="n">
        <v>0</v>
      </c>
      <c r="U45" s="55" t="n">
        <v>0</v>
      </c>
      <c r="V45" s="55" t="n">
        <v>0</v>
      </c>
      <c r="W45" s="55" t="n">
        <v>0</v>
      </c>
      <c r="X45" s="55" t="n">
        <v>0</v>
      </c>
      <c r="Y45" s="56" t="n">
        <v>1</v>
      </c>
      <c r="Z45" s="55" t="n">
        <v>0</v>
      </c>
      <c r="AA45" s="55" t="n">
        <v>0</v>
      </c>
      <c r="AB45" s="55" t="n">
        <v>0</v>
      </c>
      <c r="AC45" s="55" t="n">
        <v>0</v>
      </c>
    </row>
    <row r="46" ht="22" customHeight="1">
      <c r="A46" s="73" t="inlineStr">
        <is>
          <t>modsecurity</t>
        </is>
      </c>
      <c r="B46" s="74" t="inlineStr">
        <is>
          <t>ModSecurity / Coraza (Web Application Firewall)</t>
        </is>
      </c>
      <c r="C46" s="73" t="n">
        <v>6</v>
      </c>
      <c r="D46" s="73" t="inlineStr">
        <is>
          <t>resident</t>
        </is>
      </c>
      <c r="E46" s="73" t="inlineStr">
        <is>
          <t>resident</t>
        </is>
      </c>
      <c r="F46" s="73" t="n">
        <v>2</v>
      </c>
      <c r="G46" s="73" t="n">
        <v>4</v>
      </c>
      <c r="H46" s="73" t="n">
        <v>1</v>
      </c>
      <c r="I46" s="73" t="n">
        <v>1</v>
      </c>
      <c r="J46" s="73" t="n">
        <v>15</v>
      </c>
      <c r="K46" s="73" t="n">
        <v>0.4</v>
      </c>
      <c r="L46" s="73" t="n">
        <v>90</v>
      </c>
      <c r="M46" s="73" t="n">
        <v>0.15</v>
      </c>
      <c r="N46" s="73" t="n">
        <v>0.25</v>
      </c>
      <c r="O46" s="75">
        <f>INDEX('02_Freq_Weight'!$E$3:$E$9,MATCH(E46,'02_Freq_Weight'!$A$3:$A$9,0))</f>
        <v/>
      </c>
      <c r="P46" s="76">
        <f>$K46*'05_Params'!$B$4*POWER(1+$N46,'05_Params'!$B$13/12)*MIN($L46,'05_Params'!$B$13*30.44)*(1+$M46)</f>
        <v/>
      </c>
      <c r="Q46" s="76">
        <f>$K46*'05_Params'!$B$4*POWER(1+$N46,'05_Params'!$B$14/12)*MIN($L46,'05_Params'!$B$14*30.44)*(1+$M46)</f>
        <v/>
      </c>
      <c r="R46" s="76">
        <f>$K46*'05_Params'!$B$4*POWER(1+$N46,'05_Params'!$B$15/12)*MIN($L46,'05_Params'!$B$15*30.44)*(1+$M46)</f>
        <v/>
      </c>
      <c r="S46" s="76">
        <f>$K46*'05_Params'!$B$4*POWER(1+$N46,'05_Params'!$B$16/12)*MIN($L46,'05_Params'!$B$16*30.44)*(1+$M46)</f>
        <v/>
      </c>
      <c r="T46" s="56" t="n">
        <v>1</v>
      </c>
      <c r="U46" s="55" t="n">
        <v>0</v>
      </c>
      <c r="V46" s="55" t="n">
        <v>0</v>
      </c>
      <c r="W46" s="55" t="n">
        <v>0</v>
      </c>
      <c r="X46" s="55" t="n">
        <v>0</v>
      </c>
      <c r="Y46" s="55" t="n">
        <v>0</v>
      </c>
      <c r="Z46" s="55" t="n">
        <v>0</v>
      </c>
      <c r="AA46" s="55" t="n">
        <v>0</v>
      </c>
      <c r="AB46" s="55" t="n">
        <v>0</v>
      </c>
      <c r="AC46" s="55" t="n">
        <v>0</v>
      </c>
    </row>
    <row r="47" ht="22" customHeight="1">
      <c r="A47" s="73" t="inlineStr">
        <is>
          <t>keycloak</t>
        </is>
      </c>
      <c r="B47" s="74" t="inlineStr">
        <is>
          <t>Keycloak (SSO / MFA / Identity)</t>
        </is>
      </c>
      <c r="C47" s="73" t="n">
        <v>6</v>
      </c>
      <c r="D47" s="73" t="inlineStr">
        <is>
          <t>resident</t>
        </is>
      </c>
      <c r="E47" s="73" t="inlineStr">
        <is>
          <t>resident</t>
        </is>
      </c>
      <c r="F47" s="73" t="n">
        <v>2</v>
      </c>
      <c r="G47" s="73" t="n">
        <v>4</v>
      </c>
      <c r="H47" s="73" t="n">
        <v>1.5</v>
      </c>
      <c r="I47" s="73" t="n">
        <v>1</v>
      </c>
      <c r="J47" s="73" t="n">
        <v>20</v>
      </c>
      <c r="K47" s="73" t="n">
        <v>0.1</v>
      </c>
      <c r="L47" s="73" t="n">
        <v>2555</v>
      </c>
      <c r="M47" s="73" t="n">
        <v>0.15</v>
      </c>
      <c r="N47" s="73" t="n">
        <v>0.2</v>
      </c>
      <c r="O47" s="75">
        <f>INDEX('02_Freq_Weight'!$E$3:$E$9,MATCH(E47,'02_Freq_Weight'!$A$3:$A$9,0))</f>
        <v/>
      </c>
      <c r="P47" s="76">
        <f>$K47*'05_Params'!$B$4*POWER(1+$N47,'05_Params'!$B$13/12)*MIN($L47,'05_Params'!$B$13*30.44)*(1+$M47)</f>
        <v/>
      </c>
      <c r="Q47" s="76">
        <f>$K47*'05_Params'!$B$4*POWER(1+$N47,'05_Params'!$B$14/12)*MIN($L47,'05_Params'!$B$14*30.44)*(1+$M47)</f>
        <v/>
      </c>
      <c r="R47" s="76">
        <f>$K47*'05_Params'!$B$4*POWER(1+$N47,'05_Params'!$B$15/12)*MIN($L47,'05_Params'!$B$15*30.44)*(1+$M47)</f>
        <v/>
      </c>
      <c r="S47" s="76">
        <f>$K47*'05_Params'!$B$4*POWER(1+$N47,'05_Params'!$B$16/12)*MIN($L47,'05_Params'!$B$16*30.44)*(1+$M47)</f>
        <v/>
      </c>
      <c r="T47" s="56" t="n">
        <v>1</v>
      </c>
      <c r="U47" s="55" t="n">
        <v>0</v>
      </c>
      <c r="V47" s="55" t="n">
        <v>0</v>
      </c>
      <c r="W47" s="55" t="n">
        <v>0</v>
      </c>
      <c r="X47" s="55" t="n">
        <v>0</v>
      </c>
      <c r="Y47" s="55" t="n">
        <v>0</v>
      </c>
      <c r="Z47" s="55" t="n">
        <v>0</v>
      </c>
      <c r="AA47" s="55" t="n">
        <v>0</v>
      </c>
      <c r="AB47" s="55" t="n">
        <v>0</v>
      </c>
      <c r="AC47" s="55" t="n">
        <v>0</v>
      </c>
    </row>
    <row r="48" ht="22" customHeight="1">
      <c r="A48" s="73" t="inlineStr">
        <is>
          <t>velero-restic</t>
        </is>
      </c>
      <c r="B48" s="74" t="inlineStr">
        <is>
          <t>Velero / restic / pgBackRest (Backup &amp; DR)</t>
        </is>
      </c>
      <c r="C48" s="73" t="n">
        <v>6</v>
      </c>
      <c r="D48" s="73" t="inlineStr">
        <is>
          <t>async</t>
        </is>
      </c>
      <c r="E48" s="73" t="inlineStr">
        <is>
          <t>nightly</t>
        </is>
      </c>
      <c r="F48" s="73" t="n">
        <v>1</v>
      </c>
      <c r="G48" s="73" t="n">
        <v>2</v>
      </c>
      <c r="H48" s="73" t="n">
        <v>0.2</v>
      </c>
      <c r="I48" s="73" t="n">
        <v>0</v>
      </c>
      <c r="J48" s="73" t="n">
        <v>20</v>
      </c>
      <c r="K48" s="73" t="n">
        <v>2</v>
      </c>
      <c r="L48" s="73" t="n">
        <v>90</v>
      </c>
      <c r="M48" s="73" t="n">
        <v>0.05</v>
      </c>
      <c r="N48" s="73" t="n">
        <v>0.25</v>
      </c>
      <c r="O48" s="75">
        <f>INDEX('02_Freq_Weight'!$E$3:$E$9,MATCH(E48,'02_Freq_Weight'!$A$3:$A$9,0))</f>
        <v/>
      </c>
      <c r="P48" s="76">
        <f>$K48*'05_Params'!$B$4*POWER(1+$N48,'05_Params'!$B$13/12)*MIN($L48,'05_Params'!$B$13*30.44)*(1+$M48)</f>
        <v/>
      </c>
      <c r="Q48" s="76">
        <f>$K48*'05_Params'!$B$4*POWER(1+$N48,'05_Params'!$B$14/12)*MIN($L48,'05_Params'!$B$14*30.44)*(1+$M48)</f>
        <v/>
      </c>
      <c r="R48" s="76">
        <f>$K48*'05_Params'!$B$4*POWER(1+$N48,'05_Params'!$B$15/12)*MIN($L48,'05_Params'!$B$15*30.44)*(1+$M48)</f>
        <v/>
      </c>
      <c r="S48" s="76">
        <f>$K48*'05_Params'!$B$4*POWER(1+$N48,'05_Params'!$B$16/12)*MIN($L48,'05_Params'!$B$16*30.44)*(1+$M48)</f>
        <v/>
      </c>
      <c r="T48" s="55" t="n">
        <v>0</v>
      </c>
      <c r="U48" s="55" t="n">
        <v>0</v>
      </c>
      <c r="V48" s="55" t="n">
        <v>0</v>
      </c>
      <c r="W48" s="55" t="n">
        <v>0</v>
      </c>
      <c r="X48" s="55" t="n">
        <v>0</v>
      </c>
      <c r="Y48" s="56" t="n">
        <v>1</v>
      </c>
      <c r="Z48" s="55" t="n">
        <v>0</v>
      </c>
      <c r="AA48" s="55" t="n">
        <v>0</v>
      </c>
      <c r="AB48" s="55" t="n">
        <v>0</v>
      </c>
      <c r="AC48" s="55" t="n">
        <v>0</v>
      </c>
    </row>
    <row r="49" ht="22" customHeight="1">
      <c r="A49" s="73" t="inlineStr">
        <is>
          <t>prowler</t>
        </is>
      </c>
      <c r="B49" s="74" t="inlineStr">
        <is>
          <t>Prowler / ScoutSuite (Cloud &amp; Infra Posture Scan)</t>
        </is>
      </c>
      <c r="C49" s="73" t="n">
        <v>6</v>
      </c>
      <c r="D49" s="73" t="inlineStr">
        <is>
          <t>async</t>
        </is>
      </c>
      <c r="E49" s="73" t="inlineStr">
        <is>
          <t>weekly</t>
        </is>
      </c>
      <c r="F49" s="73" t="n">
        <v>2</v>
      </c>
      <c r="G49" s="73" t="n">
        <v>4</v>
      </c>
      <c r="H49" s="73" t="n">
        <v>0</v>
      </c>
      <c r="I49" s="73" t="n">
        <v>0</v>
      </c>
      <c r="J49" s="73" t="n">
        <v>15</v>
      </c>
      <c r="K49" s="73" t="n">
        <v>0.05</v>
      </c>
      <c r="L49" s="73" t="n">
        <v>730</v>
      </c>
      <c r="M49" s="73" t="n">
        <v>0.1</v>
      </c>
      <c r="N49" s="73" t="n">
        <v>0.15</v>
      </c>
      <c r="O49" s="75">
        <f>INDEX('02_Freq_Weight'!$E$3:$E$9,MATCH(E49,'02_Freq_Weight'!$A$3:$A$9,0))</f>
        <v/>
      </c>
      <c r="P49" s="76">
        <f>$K49*'05_Params'!$B$4*POWER(1+$N49,'05_Params'!$B$13/12)*MIN($L49,'05_Params'!$B$13*30.44)*(1+$M49)</f>
        <v/>
      </c>
      <c r="Q49" s="76">
        <f>$K49*'05_Params'!$B$4*POWER(1+$N49,'05_Params'!$B$14/12)*MIN($L49,'05_Params'!$B$14*30.44)*(1+$M49)</f>
        <v/>
      </c>
      <c r="R49" s="76">
        <f>$K49*'05_Params'!$B$4*POWER(1+$N49,'05_Params'!$B$15/12)*MIN($L49,'05_Params'!$B$15*30.44)*(1+$M49)</f>
        <v/>
      </c>
      <c r="S49" s="76">
        <f>$K49*'05_Params'!$B$4*POWER(1+$N49,'05_Params'!$B$16/12)*MIN($L49,'05_Params'!$B$16*30.44)*(1+$M49)</f>
        <v/>
      </c>
      <c r="T49" s="55" t="n">
        <v>0</v>
      </c>
      <c r="U49" s="55" t="n">
        <v>0</v>
      </c>
      <c r="V49" s="55" t="n">
        <v>0</v>
      </c>
      <c r="W49" s="56" t="n">
        <v>1</v>
      </c>
      <c r="X49" s="55" t="n">
        <v>0</v>
      </c>
      <c r="Y49" s="55" t="n">
        <v>0</v>
      </c>
      <c r="Z49" s="55" t="n">
        <v>0</v>
      </c>
      <c r="AA49" s="55" t="n">
        <v>0</v>
      </c>
      <c r="AB49" s="55" t="n">
        <v>0</v>
      </c>
      <c r="AC49" s="55" t="n">
        <v>0</v>
      </c>
    </row>
    <row r="50" ht="22" customHeight="1">
      <c r="A50" s="69" t="inlineStr">
        <is>
          <t>mlflow</t>
        </is>
      </c>
      <c r="B50" s="70" t="inlineStr">
        <is>
          <t>MLflow (Experiment Tracking + Model Registry)</t>
        </is>
      </c>
      <c r="C50" s="69" t="n">
        <v>5</v>
      </c>
      <c r="D50" s="69" t="inlineStr">
        <is>
          <t>resident</t>
        </is>
      </c>
      <c r="E50" s="69" t="inlineStr">
        <is>
          <t>resident</t>
        </is>
      </c>
      <c r="F50" s="69" t="n">
        <v>2</v>
      </c>
      <c r="G50" s="69" t="n">
        <v>4</v>
      </c>
      <c r="H50" s="69" t="n">
        <v>1.5</v>
      </c>
      <c r="I50" s="69" t="n">
        <v>1</v>
      </c>
      <c r="J50" s="69" t="n">
        <v>20</v>
      </c>
      <c r="K50" s="69" t="n">
        <v>0.5</v>
      </c>
      <c r="L50" s="69" t="n">
        <v>730</v>
      </c>
      <c r="M50" s="69" t="n">
        <v>0.15</v>
      </c>
      <c r="N50" s="69" t="n">
        <v>0.4</v>
      </c>
      <c r="O50" s="71">
        <f>INDEX('02_Freq_Weight'!$E$3:$E$9,MATCH(E50,'02_Freq_Weight'!$A$3:$A$9,0))</f>
        <v/>
      </c>
      <c r="P50" s="72">
        <f>$K50*'05_Params'!$B$4*POWER(1+$N50,'05_Params'!$B$13/12)*MIN($L50,'05_Params'!$B$13*30.44)*(1+$M50)</f>
        <v/>
      </c>
      <c r="Q50" s="72">
        <f>$K50*'05_Params'!$B$4*POWER(1+$N50,'05_Params'!$B$14/12)*MIN($L50,'05_Params'!$B$14*30.44)*(1+$M50)</f>
        <v/>
      </c>
      <c r="R50" s="72">
        <f>$K50*'05_Params'!$B$4*POWER(1+$N50,'05_Params'!$B$15/12)*MIN($L50,'05_Params'!$B$15*30.44)*(1+$M50)</f>
        <v/>
      </c>
      <c r="S50" s="72">
        <f>$K50*'05_Params'!$B$4*POWER(1+$N50,'05_Params'!$B$16/12)*MIN($L50,'05_Params'!$B$16*30.44)*(1+$M50)</f>
        <v/>
      </c>
      <c r="T50" s="55" t="n">
        <v>0</v>
      </c>
      <c r="U50" s="55" t="n">
        <v>0</v>
      </c>
      <c r="V50" s="55" t="n">
        <v>0</v>
      </c>
      <c r="W50" s="55" t="n">
        <v>0</v>
      </c>
      <c r="X50" s="55" t="n">
        <v>0</v>
      </c>
      <c r="Y50" s="55" t="n">
        <v>0</v>
      </c>
      <c r="Z50" s="55" t="n">
        <v>0</v>
      </c>
      <c r="AA50" s="55" t="n">
        <v>0</v>
      </c>
      <c r="AB50" s="55" t="n">
        <v>0</v>
      </c>
      <c r="AC50" s="55" t="n">
        <v>0</v>
      </c>
    </row>
    <row r="51" ht="22" customHeight="1">
      <c r="A51" s="65" t="inlineStr">
        <is>
          <t>llm-eval</t>
        </is>
      </c>
      <c r="B51" s="66" t="inlineStr">
        <is>
          <t>LLM Evaluation Runner (AI/LLM Eval Harness)</t>
        </is>
      </c>
      <c r="C51" s="65" t="n">
        <v>4</v>
      </c>
      <c r="D51" s="65" t="inlineStr">
        <is>
          <t>load</t>
        </is>
      </c>
      <c r="E51" s="65" t="inlineStr">
        <is>
          <t>per_build</t>
        </is>
      </c>
      <c r="F51" s="65" t="n">
        <v>4</v>
      </c>
      <c r="G51" s="65" t="n">
        <v>8</v>
      </c>
      <c r="H51" s="65" t="n">
        <v>0</v>
      </c>
      <c r="I51" s="65" t="n">
        <v>0</v>
      </c>
      <c r="J51" s="65" t="n">
        <v>40</v>
      </c>
      <c r="K51" s="65" t="n">
        <v>0.2</v>
      </c>
      <c r="L51" s="65" t="n">
        <v>365</v>
      </c>
      <c r="M51" s="65" t="n">
        <v>0.1</v>
      </c>
      <c r="N51" s="65" t="n">
        <v>0.3</v>
      </c>
      <c r="O51" s="67">
        <f>INDEX('02_Freq_Weight'!$E$3:$E$9,MATCH(E51,'02_Freq_Weight'!$A$3:$A$9,0))</f>
        <v/>
      </c>
      <c r="P51" s="68">
        <f>$K51*'05_Params'!$B$4*POWER(1+$N51,'05_Params'!$B$13/12)*MIN($L51,'05_Params'!$B$13*30.44)*(1+$M51)</f>
        <v/>
      </c>
      <c r="Q51" s="68">
        <f>$K51*'05_Params'!$B$4*POWER(1+$N51,'05_Params'!$B$14/12)*MIN($L51,'05_Params'!$B$14*30.44)*(1+$M51)</f>
        <v/>
      </c>
      <c r="R51" s="68">
        <f>$K51*'05_Params'!$B$4*POWER(1+$N51,'05_Params'!$B$15/12)*MIN($L51,'05_Params'!$B$15*30.44)*(1+$M51)</f>
        <v/>
      </c>
      <c r="S51" s="68">
        <f>$K51*'05_Params'!$B$4*POWER(1+$N51,'05_Params'!$B$16/12)*MIN($L51,'05_Params'!$B$16*30.44)*(1+$M51)</f>
        <v/>
      </c>
      <c r="T51" s="55" t="n">
        <v>0</v>
      </c>
      <c r="U51" s="55" t="n">
        <v>0</v>
      </c>
      <c r="V51" s="55" t="n">
        <v>0</v>
      </c>
      <c r="W51" s="55" t="n">
        <v>0</v>
      </c>
      <c r="X51" s="55" t="n">
        <v>0</v>
      </c>
      <c r="Y51" s="55" t="n">
        <v>0</v>
      </c>
      <c r="Z51" s="55" t="n">
        <v>0</v>
      </c>
      <c r="AA51" s="55" t="n">
        <v>0</v>
      </c>
      <c r="AB51" s="55" t="n">
        <v>0</v>
      </c>
      <c r="AC51" s="55" t="n">
        <v>0</v>
      </c>
    </row>
    <row r="52" ht="22" customHeight="1">
      <c r="A52" s="61" t="inlineStr">
        <is>
          <t>gpu-training</t>
        </is>
      </c>
      <c r="B52" s="62" t="inlineStr">
        <is>
          <t>GPU Training Node (Model Training / Fine-tune)</t>
        </is>
      </c>
      <c r="C52" s="61" t="n">
        <v>3</v>
      </c>
      <c r="D52" s="61" t="inlineStr">
        <is>
          <t>load</t>
        </is>
      </c>
      <c r="E52" s="61" t="inlineStr">
        <is>
          <t>weekly</t>
        </is>
      </c>
      <c r="F52" s="61" t="n">
        <v>8</v>
      </c>
      <c r="G52" s="61" t="n">
        <v>16</v>
      </c>
      <c r="H52" s="61" t="n">
        <v>0</v>
      </c>
      <c r="I52" s="61" t="n">
        <v>0</v>
      </c>
      <c r="J52" s="61" t="n">
        <v>200</v>
      </c>
      <c r="K52" s="61" t="n">
        <v>5</v>
      </c>
      <c r="L52" s="61" t="n">
        <v>180</v>
      </c>
      <c r="M52" s="61" t="n">
        <v>0.1</v>
      </c>
      <c r="N52" s="61" t="n">
        <v>0.4</v>
      </c>
      <c r="O52" s="63">
        <f>INDEX('02_Freq_Weight'!$E$3:$E$9,MATCH(E52,'02_Freq_Weight'!$A$3:$A$9,0))</f>
        <v/>
      </c>
      <c r="P52" s="64">
        <f>$K52*'05_Params'!$B$4*POWER(1+$N52,'05_Params'!$B$13/12)*MIN($L52,'05_Params'!$B$13*30.44)*(1+$M52)</f>
        <v/>
      </c>
      <c r="Q52" s="64">
        <f>$K52*'05_Params'!$B$4*POWER(1+$N52,'05_Params'!$B$14/12)*MIN($L52,'05_Params'!$B$14*30.44)*(1+$M52)</f>
        <v/>
      </c>
      <c r="R52" s="64">
        <f>$K52*'05_Params'!$B$4*POWER(1+$N52,'05_Params'!$B$15/12)*MIN($L52,'05_Params'!$B$15*30.44)*(1+$M52)</f>
        <v/>
      </c>
      <c r="S52" s="64">
        <f>$K52*'05_Params'!$B$4*POWER(1+$N52,'05_Params'!$B$16/12)*MIN($L52,'05_Params'!$B$16*30.44)*(1+$M52)</f>
        <v/>
      </c>
      <c r="T52" s="55" t="n">
        <v>0</v>
      </c>
      <c r="U52" s="55" t="n">
        <v>0</v>
      </c>
      <c r="V52" s="55" t="n">
        <v>0</v>
      </c>
      <c r="W52" s="55" t="n">
        <v>0</v>
      </c>
      <c r="X52" s="55" t="n">
        <v>0</v>
      </c>
      <c r="Y52" s="55" t="n">
        <v>0</v>
      </c>
      <c r="Z52" s="55" t="n">
        <v>0</v>
      </c>
      <c r="AA52" s="55" t="n">
        <v>0</v>
      </c>
      <c r="AB52" s="55" t="n">
        <v>0</v>
      </c>
      <c r="AC52" s="55" t="n">
        <v>0</v>
      </c>
    </row>
    <row r="53" ht="22" customHeight="1">
      <c r="A53" s="69" t="inlineStr">
        <is>
          <t>redis</t>
        </is>
      </c>
      <c r="B53" s="70" t="inlineStr">
        <is>
          <t>Redis (Cache สำหรับเครื่องมือ CI/CD)</t>
        </is>
      </c>
      <c r="C53" s="69" t="n">
        <v>5</v>
      </c>
      <c r="D53" s="69" t="inlineStr">
        <is>
          <t>resident</t>
        </is>
      </c>
      <c r="E53" s="69" t="inlineStr">
        <is>
          <t>resident</t>
        </is>
      </c>
      <c r="F53" s="69" t="n">
        <v>1</v>
      </c>
      <c r="G53" s="69" t="n">
        <v>2</v>
      </c>
      <c r="H53" s="69" t="n">
        <v>1</v>
      </c>
      <c r="I53" s="69" t="n">
        <v>1</v>
      </c>
      <c r="J53" s="69" t="n">
        <v>10</v>
      </c>
      <c r="K53" s="69" t="n">
        <v>0.05</v>
      </c>
      <c r="L53" s="69" t="n">
        <v>30</v>
      </c>
      <c r="M53" s="69" t="n">
        <v>0.1</v>
      </c>
      <c r="N53" s="69" t="n">
        <v>0.2</v>
      </c>
      <c r="O53" s="71">
        <f>INDEX('02_Freq_Weight'!$E$3:$E$9,MATCH(E53,'02_Freq_Weight'!$A$3:$A$9,0))</f>
        <v/>
      </c>
      <c r="P53" s="72">
        <f>$K53*'05_Params'!$B$4*POWER(1+$N53,'05_Params'!$B$13/12)*MIN($L53,'05_Params'!$B$13*30.44)*(1+$M53)</f>
        <v/>
      </c>
      <c r="Q53" s="72">
        <f>$K53*'05_Params'!$B$4*POWER(1+$N53,'05_Params'!$B$14/12)*MIN($L53,'05_Params'!$B$14*30.44)*(1+$M53)</f>
        <v/>
      </c>
      <c r="R53" s="72">
        <f>$K53*'05_Params'!$B$4*POWER(1+$N53,'05_Params'!$B$15/12)*MIN($L53,'05_Params'!$B$15*30.44)*(1+$M53)</f>
        <v/>
      </c>
      <c r="S53" s="72">
        <f>$K53*'05_Params'!$B$4*POWER(1+$N53,'05_Params'!$B$16/12)*MIN($L53,'05_Params'!$B$16*30.44)*(1+$M53)</f>
        <v/>
      </c>
      <c r="T53" s="55" t="n">
        <v>0</v>
      </c>
      <c r="U53" s="55" t="n">
        <v>0</v>
      </c>
      <c r="V53" s="55" t="n">
        <v>0</v>
      </c>
      <c r="W53" s="55" t="n">
        <v>0</v>
      </c>
      <c r="X53" s="56" t="n">
        <v>1</v>
      </c>
      <c r="Y53" s="55" t="n">
        <v>0</v>
      </c>
      <c r="Z53" s="55" t="n">
        <v>0</v>
      </c>
      <c r="AA53" s="55" t="n">
        <v>0</v>
      </c>
      <c r="AB53" s="55" t="n">
        <v>0</v>
      </c>
      <c r="AC53" s="55" t="n">
        <v>0</v>
      </c>
    </row>
    <row r="54" ht="22" customHeight="1">
      <c r="A54" s="69" t="inlineStr">
        <is>
          <t>rabbitmq</t>
        </is>
      </c>
      <c r="B54" s="70" t="inlineStr">
        <is>
          <t>RabbitMQ (Message Queue)</t>
        </is>
      </c>
      <c r="C54" s="69" t="n">
        <v>5</v>
      </c>
      <c r="D54" s="69" t="inlineStr">
        <is>
          <t>resident</t>
        </is>
      </c>
      <c r="E54" s="69" t="inlineStr">
        <is>
          <t>resident</t>
        </is>
      </c>
      <c r="F54" s="69" t="n">
        <v>2</v>
      </c>
      <c r="G54" s="69" t="n">
        <v>4</v>
      </c>
      <c r="H54" s="69" t="n">
        <v>1.5</v>
      </c>
      <c r="I54" s="69" t="n">
        <v>1</v>
      </c>
      <c r="J54" s="69" t="n">
        <v>15</v>
      </c>
      <c r="K54" s="69" t="n">
        <v>0.1</v>
      </c>
      <c r="L54" s="69" t="n">
        <v>30</v>
      </c>
      <c r="M54" s="69" t="n">
        <v>0.1</v>
      </c>
      <c r="N54" s="69" t="n">
        <v>0.2</v>
      </c>
      <c r="O54" s="71">
        <f>INDEX('02_Freq_Weight'!$E$3:$E$9,MATCH(E54,'02_Freq_Weight'!$A$3:$A$9,0))</f>
        <v/>
      </c>
      <c r="P54" s="72">
        <f>$K54*'05_Params'!$B$4*POWER(1+$N54,'05_Params'!$B$13/12)*MIN($L54,'05_Params'!$B$13*30.44)*(1+$M54)</f>
        <v/>
      </c>
      <c r="Q54" s="72">
        <f>$K54*'05_Params'!$B$4*POWER(1+$N54,'05_Params'!$B$14/12)*MIN($L54,'05_Params'!$B$14*30.44)*(1+$M54)</f>
        <v/>
      </c>
      <c r="R54" s="72">
        <f>$K54*'05_Params'!$B$4*POWER(1+$N54,'05_Params'!$B$15/12)*MIN($L54,'05_Params'!$B$15*30.44)*(1+$M54)</f>
        <v/>
      </c>
      <c r="S54" s="72">
        <f>$K54*'05_Params'!$B$4*POWER(1+$N54,'05_Params'!$B$16/12)*MIN($L54,'05_Params'!$B$16*30.44)*(1+$M54)</f>
        <v/>
      </c>
      <c r="T54" s="55" t="n">
        <v>0</v>
      </c>
      <c r="U54" s="55" t="n">
        <v>0</v>
      </c>
      <c r="V54" s="55" t="n">
        <v>0</v>
      </c>
      <c r="W54" s="55" t="n">
        <v>0</v>
      </c>
      <c r="X54" s="55" t="n">
        <v>0</v>
      </c>
      <c r="Y54" s="55" t="n">
        <v>0</v>
      </c>
      <c r="Z54" s="55" t="n">
        <v>0</v>
      </c>
      <c r="AA54" s="55" t="n">
        <v>0</v>
      </c>
      <c r="AB54" s="55" t="n">
        <v>0</v>
      </c>
      <c r="AC54" s="55" t="n">
        <v>0</v>
      </c>
    </row>
    <row r="55" ht="22" customHeight="1">
      <c r="A55" s="69" t="inlineStr">
        <is>
          <t>sftp-nfs</t>
        </is>
      </c>
      <c r="B55" s="70" t="inlineStr">
        <is>
          <t>SFTP / NFS File Server</t>
        </is>
      </c>
      <c r="C55" s="69" t="n">
        <v>5</v>
      </c>
      <c r="D55" s="69" t="inlineStr">
        <is>
          <t>resident</t>
        </is>
      </c>
      <c r="E55" s="69" t="inlineStr">
        <is>
          <t>resident</t>
        </is>
      </c>
      <c r="F55" s="69" t="n">
        <v>1</v>
      </c>
      <c r="G55" s="69" t="n">
        <v>2</v>
      </c>
      <c r="H55" s="69" t="n">
        <v>0.3</v>
      </c>
      <c r="I55" s="69" t="n">
        <v>1</v>
      </c>
      <c r="J55" s="69" t="n">
        <v>20</v>
      </c>
      <c r="K55" s="69" t="n">
        <v>0.5</v>
      </c>
      <c r="L55" s="69" t="n">
        <v>180</v>
      </c>
      <c r="M55" s="69" t="n">
        <v>0.05</v>
      </c>
      <c r="N55" s="69" t="n">
        <v>0.25</v>
      </c>
      <c r="O55" s="71">
        <f>INDEX('02_Freq_Weight'!$E$3:$E$9,MATCH(E55,'02_Freq_Weight'!$A$3:$A$9,0))</f>
        <v/>
      </c>
      <c r="P55" s="72">
        <f>$K55*'05_Params'!$B$4*POWER(1+$N55,'05_Params'!$B$13/12)*MIN($L55,'05_Params'!$B$13*30.44)*(1+$M55)</f>
        <v/>
      </c>
      <c r="Q55" s="72">
        <f>$K55*'05_Params'!$B$4*POWER(1+$N55,'05_Params'!$B$14/12)*MIN($L55,'05_Params'!$B$14*30.44)*(1+$M55)</f>
        <v/>
      </c>
      <c r="R55" s="72">
        <f>$K55*'05_Params'!$B$4*POWER(1+$N55,'05_Params'!$B$15/12)*MIN($L55,'05_Params'!$B$15*30.44)*(1+$M55)</f>
        <v/>
      </c>
      <c r="S55" s="72">
        <f>$K55*'05_Params'!$B$4*POWER(1+$N55,'05_Params'!$B$16/12)*MIN($L55,'05_Params'!$B$16*30.44)*(1+$M55)</f>
        <v/>
      </c>
      <c r="T55" s="55" t="n">
        <v>0</v>
      </c>
      <c r="U55" s="55" t="n">
        <v>0</v>
      </c>
      <c r="V55" s="55" t="n">
        <v>0</v>
      </c>
      <c r="W55" s="55" t="n">
        <v>0</v>
      </c>
      <c r="X55" s="55" t="n">
        <v>0</v>
      </c>
      <c r="Y55" s="55" t="n">
        <v>0</v>
      </c>
      <c r="Z55" s="55" t="n">
        <v>0</v>
      </c>
      <c r="AA55" s="55" t="n">
        <v>0</v>
      </c>
      <c r="AB55" s="55" t="n">
        <v>0</v>
      </c>
      <c r="AC55" s="55" t="n">
        <v>0</v>
      </c>
    </row>
    <row r="56" ht="22" customHeight="1">
      <c r="A56" s="57" t="inlineStr">
        <is>
          <t>scancode</t>
        </is>
      </c>
      <c r="B56" s="58" t="inlineStr">
        <is>
          <t>ScanCode Toolkit / License Finder (License Compliance แบบ Permissive)</t>
        </is>
      </c>
      <c r="C56" s="57" t="n">
        <v>2</v>
      </c>
      <c r="D56" s="57" t="inlineStr">
        <is>
          <t>ci_seq</t>
        </is>
      </c>
      <c r="E56" s="57" t="inlineStr">
        <is>
          <t>per_build</t>
        </is>
      </c>
      <c r="F56" s="57" t="n">
        <v>2</v>
      </c>
      <c r="G56" s="57" t="n">
        <v>4</v>
      </c>
      <c r="H56" s="57" t="n">
        <v>0</v>
      </c>
      <c r="I56" s="57" t="n">
        <v>0</v>
      </c>
      <c r="J56" s="57" t="n">
        <v>15</v>
      </c>
      <c r="K56" s="57" t="n">
        <v>0.02</v>
      </c>
      <c r="L56" s="57" t="n">
        <v>730</v>
      </c>
      <c r="M56" s="57" t="n">
        <v>0.05</v>
      </c>
      <c r="N56" s="57" t="n">
        <v>0.1</v>
      </c>
      <c r="O56" s="59">
        <f>INDEX('02_Freq_Weight'!$E$3:$E$9,MATCH(E56,'02_Freq_Weight'!$A$3:$A$9,0))</f>
        <v/>
      </c>
      <c r="P56" s="60">
        <f>$K56*'05_Params'!$B$4*POWER(1+$N56,'05_Params'!$B$13/12)*MIN($L56,'05_Params'!$B$13*30.44)*(1+$M56)</f>
        <v/>
      </c>
      <c r="Q56" s="60">
        <f>$K56*'05_Params'!$B$4*POWER(1+$N56,'05_Params'!$B$14/12)*MIN($L56,'05_Params'!$B$14*30.44)*(1+$M56)</f>
        <v/>
      </c>
      <c r="R56" s="60">
        <f>$K56*'05_Params'!$B$4*POWER(1+$N56,'05_Params'!$B$15/12)*MIN($L56,'05_Params'!$B$15*30.44)*(1+$M56)</f>
        <v/>
      </c>
      <c r="S56" s="60">
        <f>$K56*'05_Params'!$B$4*POWER(1+$N56,'05_Params'!$B$16/12)*MIN($L56,'05_Params'!$B$16*30.44)*(1+$M56)</f>
        <v/>
      </c>
      <c r="T56" s="55" t="n">
        <v>0</v>
      </c>
      <c r="U56" s="55" t="n">
        <v>0</v>
      </c>
      <c r="V56" s="56" t="n">
        <v>1</v>
      </c>
      <c r="W56" s="55" t="n">
        <v>0</v>
      </c>
      <c r="X56" s="55" t="n">
        <v>0</v>
      </c>
      <c r="Y56" s="55" t="n">
        <v>0</v>
      </c>
      <c r="Z56" s="55" t="n">
        <v>0</v>
      </c>
      <c r="AA56" s="55" t="n">
        <v>0</v>
      </c>
      <c r="AB56" s="55" t="n">
        <v>0</v>
      </c>
      <c r="AC56" s="55" t="n">
        <v>0</v>
      </c>
    </row>
    <row r="57" ht="22" customHeight="1">
      <c r="A57" s="65" t="inlineStr">
        <is>
          <t>cbomkit</t>
        </is>
      </c>
      <c r="B57" s="66" t="inlineStr">
        <is>
          <t>CBOMkit / Crypto Inventory Scanner (Crypto Bill of Materials)</t>
        </is>
      </c>
      <c r="C57" s="65" t="n">
        <v>4</v>
      </c>
      <c r="D57" s="65" t="inlineStr">
        <is>
          <t>async</t>
        </is>
      </c>
      <c r="E57" s="65" t="inlineStr">
        <is>
          <t>weekly</t>
        </is>
      </c>
      <c r="F57" s="65" t="n">
        <v>2</v>
      </c>
      <c r="G57" s="65" t="n">
        <v>4</v>
      </c>
      <c r="H57" s="65" t="n">
        <v>0</v>
      </c>
      <c r="I57" s="65" t="n">
        <v>0</v>
      </c>
      <c r="J57" s="65" t="n">
        <v>10</v>
      </c>
      <c r="K57" s="65" t="n">
        <v>0.02</v>
      </c>
      <c r="L57" s="65" t="n">
        <v>730</v>
      </c>
      <c r="M57" s="65" t="n">
        <v>0.05</v>
      </c>
      <c r="N57" s="65" t="n">
        <v>0.1</v>
      </c>
      <c r="O57" s="67">
        <f>INDEX('02_Freq_Weight'!$E$3:$E$9,MATCH(E57,'02_Freq_Weight'!$A$3:$A$9,0))</f>
        <v/>
      </c>
      <c r="P57" s="68">
        <f>$K57*'05_Params'!$B$4*POWER(1+$N57,'05_Params'!$B$13/12)*MIN($L57,'05_Params'!$B$13*30.44)*(1+$M57)</f>
        <v/>
      </c>
      <c r="Q57" s="68">
        <f>$K57*'05_Params'!$B$4*POWER(1+$N57,'05_Params'!$B$14/12)*MIN($L57,'05_Params'!$B$14*30.44)*(1+$M57)</f>
        <v/>
      </c>
      <c r="R57" s="68">
        <f>$K57*'05_Params'!$B$4*POWER(1+$N57,'05_Params'!$B$15/12)*MIN($L57,'05_Params'!$B$15*30.44)*(1+$M57)</f>
        <v/>
      </c>
      <c r="S57" s="68">
        <f>$K57*'05_Params'!$B$4*POWER(1+$N57,'05_Params'!$B$16/12)*MIN($L57,'05_Params'!$B$16*30.44)*(1+$M57)</f>
        <v/>
      </c>
      <c r="T57" s="55" t="n">
        <v>0</v>
      </c>
      <c r="U57" s="55" t="n">
        <v>0</v>
      </c>
      <c r="V57" s="55" t="n">
        <v>0</v>
      </c>
      <c r="W57" s="55" t="n">
        <v>0</v>
      </c>
      <c r="X57" s="55" t="n">
        <v>0</v>
      </c>
      <c r="Y57" s="55" t="n">
        <v>0</v>
      </c>
      <c r="Z57" s="55" t="n">
        <v>0</v>
      </c>
      <c r="AA57" s="55" t="n">
        <v>0</v>
      </c>
      <c r="AB57" s="55" t="n">
        <v>0</v>
      </c>
      <c r="AC57" s="55" t="n">
        <v>0</v>
      </c>
    </row>
    <row r="58" ht="22" customHeight="1">
      <c r="A58" s="69" t="inlineStr">
        <is>
          <t>opensearch</t>
        </is>
      </c>
      <c r="B58" s="70" t="inlineStr">
        <is>
          <t>OpenSearch + OpenSearch Dashboards (Log &amp; SIEM แบบ Apache-2.0)</t>
        </is>
      </c>
      <c r="C58" s="69" t="n">
        <v>5</v>
      </c>
      <c r="D58" s="69" t="inlineStr">
        <is>
          <t>resident</t>
        </is>
      </c>
      <c r="E58" s="69" t="inlineStr">
        <is>
          <t>resident</t>
        </is>
      </c>
      <c r="F58" s="69" t="n">
        <v>4</v>
      </c>
      <c r="G58" s="69" t="n">
        <v>8</v>
      </c>
      <c r="H58" s="69" t="n">
        <v>6</v>
      </c>
      <c r="I58" s="69" t="n">
        <v>1</v>
      </c>
      <c r="J58" s="69" t="n">
        <v>50</v>
      </c>
      <c r="K58" s="69" t="n">
        <v>1.5</v>
      </c>
      <c r="L58" s="69" t="n">
        <v>90</v>
      </c>
      <c r="M58" s="69" t="n">
        <v>0.45</v>
      </c>
      <c r="N58" s="69" t="n">
        <v>0.3</v>
      </c>
      <c r="O58" s="71">
        <f>INDEX('02_Freq_Weight'!$E$3:$E$9,MATCH(E58,'02_Freq_Weight'!$A$3:$A$9,0))</f>
        <v/>
      </c>
      <c r="P58" s="72">
        <f>$K58*'05_Params'!$B$4*POWER(1+$N58,'05_Params'!$B$13/12)*MIN($L58,'05_Params'!$B$13*30.44)*(1+$M58)</f>
        <v/>
      </c>
      <c r="Q58" s="72">
        <f>$K58*'05_Params'!$B$4*POWER(1+$N58,'05_Params'!$B$14/12)*MIN($L58,'05_Params'!$B$14*30.44)*(1+$M58)</f>
        <v/>
      </c>
      <c r="R58" s="72">
        <f>$K58*'05_Params'!$B$4*POWER(1+$N58,'05_Params'!$B$15/12)*MIN($L58,'05_Params'!$B$15*30.44)*(1+$M58)</f>
        <v/>
      </c>
      <c r="S58" s="72">
        <f>$K58*'05_Params'!$B$4*POWER(1+$N58,'05_Params'!$B$16/12)*MIN($L58,'05_Params'!$B$16*30.44)*(1+$M58)</f>
        <v/>
      </c>
      <c r="T58" s="55" t="n">
        <v>0</v>
      </c>
      <c r="U58" s="55" t="n">
        <v>0</v>
      </c>
      <c r="V58" s="55" t="n">
        <v>0</v>
      </c>
      <c r="W58" s="55" t="n">
        <v>0</v>
      </c>
      <c r="X58" s="55" t="n">
        <v>0</v>
      </c>
      <c r="Y58" s="55" t="n">
        <v>0</v>
      </c>
      <c r="Z58" s="55" t="n">
        <v>0</v>
      </c>
      <c r="AA58" s="55" t="n">
        <v>0</v>
      </c>
      <c r="AB58" s="55" t="n">
        <v>0</v>
      </c>
      <c r="AC58" s="55" t="n">
        <v>0</v>
      </c>
    </row>
    <row r="59" ht="22" customHeight="1">
      <c r="A59" s="69" t="inlineStr">
        <is>
          <t>openbao</t>
        </is>
      </c>
      <c r="B59" s="70" t="inlineStr">
        <is>
          <t>OpenBao (Secret Management แบบ MPL-2.0)</t>
        </is>
      </c>
      <c r="C59" s="69" t="n">
        <v>5</v>
      </c>
      <c r="D59" s="69" t="inlineStr">
        <is>
          <t>resident</t>
        </is>
      </c>
      <c r="E59" s="69" t="inlineStr">
        <is>
          <t>resident</t>
        </is>
      </c>
      <c r="F59" s="69" t="n">
        <v>2</v>
      </c>
      <c r="G59" s="69" t="n">
        <v>4</v>
      </c>
      <c r="H59" s="69" t="n">
        <v>1</v>
      </c>
      <c r="I59" s="69" t="n">
        <v>1</v>
      </c>
      <c r="J59" s="69" t="n">
        <v>20</v>
      </c>
      <c r="K59" s="69" t="n">
        <v>0.05</v>
      </c>
      <c r="L59" s="69" t="n">
        <v>2555</v>
      </c>
      <c r="M59" s="69" t="n">
        <v>0.1</v>
      </c>
      <c r="N59" s="69" t="n">
        <v>0.15</v>
      </c>
      <c r="O59" s="71">
        <f>INDEX('02_Freq_Weight'!$E$3:$E$9,MATCH(E59,'02_Freq_Weight'!$A$3:$A$9,0))</f>
        <v/>
      </c>
      <c r="P59" s="72">
        <f>$K59*'05_Params'!$B$4*POWER(1+$N59,'05_Params'!$B$13/12)*MIN($L59,'05_Params'!$B$13*30.44)*(1+$M59)</f>
        <v/>
      </c>
      <c r="Q59" s="72">
        <f>$K59*'05_Params'!$B$4*POWER(1+$N59,'05_Params'!$B$14/12)*MIN($L59,'05_Params'!$B$14*30.44)*(1+$M59)</f>
        <v/>
      </c>
      <c r="R59" s="72">
        <f>$K59*'05_Params'!$B$4*POWER(1+$N59,'05_Params'!$B$15/12)*MIN($L59,'05_Params'!$B$15*30.44)*(1+$M59)</f>
        <v/>
      </c>
      <c r="S59" s="72">
        <f>$K59*'05_Params'!$B$4*POWER(1+$N59,'05_Params'!$B$16/12)*MIN($L59,'05_Params'!$B$16*30.44)*(1+$M59)</f>
        <v/>
      </c>
      <c r="T59" s="55" t="n">
        <v>0</v>
      </c>
      <c r="U59" s="55" t="n">
        <v>0</v>
      </c>
      <c r="V59" s="55" t="n">
        <v>0</v>
      </c>
      <c r="W59" s="55" t="n">
        <v>0</v>
      </c>
      <c r="X59" s="55" t="n">
        <v>0</v>
      </c>
      <c r="Y59" s="55" t="n">
        <v>0</v>
      </c>
      <c r="Z59" s="55" t="n">
        <v>0</v>
      </c>
      <c r="AA59" s="55" t="n">
        <v>0</v>
      </c>
      <c r="AB59" s="55" t="n">
        <v>0</v>
      </c>
      <c r="AC59" s="55" t="n">
        <v>0</v>
      </c>
    </row>
    <row r="60" ht="22" customHeight="1">
      <c r="A60" s="51" t="inlineStr">
        <is>
          <t>azure-devops</t>
        </is>
      </c>
      <c r="B60" s="52" t="inlineStr">
        <is>
          <t>Azure DevOps (Cloud CI/CD Platform)</t>
        </is>
      </c>
      <c r="C60" s="51" t="n">
        <v>1</v>
      </c>
      <c r="D60" s="51" t="inlineStr">
        <is>
          <t>ci_seq</t>
        </is>
      </c>
      <c r="E60" s="51" t="inlineStr">
        <is>
          <t>per_commit</t>
        </is>
      </c>
      <c r="F60" s="51" t="n">
        <v>0</v>
      </c>
      <c r="G60" s="51" t="n">
        <v>0</v>
      </c>
      <c r="H60" s="51" t="n">
        <v>0</v>
      </c>
      <c r="I60" s="51" t="n">
        <v>0</v>
      </c>
      <c r="J60" s="51" t="n">
        <v>0</v>
      </c>
      <c r="K60" s="51" t="n">
        <v>0.02</v>
      </c>
      <c r="L60" s="51" t="n">
        <v>365</v>
      </c>
      <c r="M60" s="51" t="n">
        <v>0.1</v>
      </c>
      <c r="N60" s="51" t="n">
        <v>0.2</v>
      </c>
      <c r="O60" s="53">
        <f>INDEX('02_Freq_Weight'!$E$3:$E$9,MATCH(E60,'02_Freq_Weight'!$A$3:$A$9,0))</f>
        <v/>
      </c>
      <c r="P60" s="54">
        <f>$K60*'05_Params'!$B$4*POWER(1+$N60,'05_Params'!$B$13/12)*MIN($L60,'05_Params'!$B$13*30.44)*(1+$M60)</f>
        <v/>
      </c>
      <c r="Q60" s="54">
        <f>$K60*'05_Params'!$B$4*POWER(1+$N60,'05_Params'!$B$14/12)*MIN($L60,'05_Params'!$B$14*30.44)*(1+$M60)</f>
        <v/>
      </c>
      <c r="R60" s="54">
        <f>$K60*'05_Params'!$B$4*POWER(1+$N60,'05_Params'!$B$15/12)*MIN($L60,'05_Params'!$B$15*30.44)*(1+$M60)</f>
        <v/>
      </c>
      <c r="S60" s="54">
        <f>$K60*'05_Params'!$B$4*POWER(1+$N60,'05_Params'!$B$16/12)*MIN($L60,'05_Params'!$B$16*30.44)*(1+$M60)</f>
        <v/>
      </c>
      <c r="T60" s="55" t="n">
        <v>0</v>
      </c>
      <c r="U60" s="55" t="n">
        <v>0</v>
      </c>
      <c r="V60" s="55" t="n">
        <v>0</v>
      </c>
      <c r="W60" s="55" t="n">
        <v>0</v>
      </c>
      <c r="X60" s="55" t="n">
        <v>0</v>
      </c>
      <c r="Y60" s="55" t="n">
        <v>0</v>
      </c>
      <c r="Z60" s="55" t="n">
        <v>0</v>
      </c>
      <c r="AA60" s="55" t="n">
        <v>0</v>
      </c>
      <c r="AB60" s="55" t="n">
        <v>0</v>
      </c>
      <c r="AC60" s="55" t="n">
        <v>0</v>
      </c>
    </row>
    <row r="61" ht="22" customHeight="1">
      <c r="A61" s="51" t="inlineStr">
        <is>
          <t>github-actions</t>
        </is>
      </c>
      <c r="B61" s="52" t="inlineStr">
        <is>
          <t>GitHub Actions (Cloud CI/CD)</t>
        </is>
      </c>
      <c r="C61" s="51" t="n">
        <v>1</v>
      </c>
      <c r="D61" s="51" t="inlineStr">
        <is>
          <t>ci_seq</t>
        </is>
      </c>
      <c r="E61" s="51" t="inlineStr">
        <is>
          <t>per_commit</t>
        </is>
      </c>
      <c r="F61" s="51" t="n">
        <v>0</v>
      </c>
      <c r="G61" s="51" t="n">
        <v>0</v>
      </c>
      <c r="H61" s="51" t="n">
        <v>0</v>
      </c>
      <c r="I61" s="51" t="n">
        <v>0</v>
      </c>
      <c r="J61" s="51" t="n">
        <v>0</v>
      </c>
      <c r="K61" s="51" t="n">
        <v>0.02</v>
      </c>
      <c r="L61" s="51" t="n">
        <v>90</v>
      </c>
      <c r="M61" s="51" t="n">
        <v>0.1</v>
      </c>
      <c r="N61" s="51" t="n">
        <v>0.2</v>
      </c>
      <c r="O61" s="53">
        <f>INDEX('02_Freq_Weight'!$E$3:$E$9,MATCH(E61,'02_Freq_Weight'!$A$3:$A$9,0))</f>
        <v/>
      </c>
      <c r="P61" s="54">
        <f>$K61*'05_Params'!$B$4*POWER(1+$N61,'05_Params'!$B$13/12)*MIN($L61,'05_Params'!$B$13*30.44)*(1+$M61)</f>
        <v/>
      </c>
      <c r="Q61" s="54">
        <f>$K61*'05_Params'!$B$4*POWER(1+$N61,'05_Params'!$B$14/12)*MIN($L61,'05_Params'!$B$14*30.44)*(1+$M61)</f>
        <v/>
      </c>
      <c r="R61" s="54">
        <f>$K61*'05_Params'!$B$4*POWER(1+$N61,'05_Params'!$B$15/12)*MIN($L61,'05_Params'!$B$15*30.44)*(1+$M61)</f>
        <v/>
      </c>
      <c r="S61" s="54">
        <f>$K61*'05_Params'!$B$4*POWER(1+$N61,'05_Params'!$B$16/12)*MIN($L61,'05_Params'!$B$16*30.44)*(1+$M61)</f>
        <v/>
      </c>
      <c r="T61" s="55" t="n">
        <v>0</v>
      </c>
      <c r="U61" s="55" t="n">
        <v>0</v>
      </c>
      <c r="V61" s="55" t="n">
        <v>0</v>
      </c>
      <c r="W61" s="55" t="n">
        <v>0</v>
      </c>
      <c r="X61" s="55" t="n">
        <v>0</v>
      </c>
      <c r="Y61" s="55" t="n">
        <v>0</v>
      </c>
      <c r="Z61" s="55" t="n">
        <v>0</v>
      </c>
      <c r="AA61" s="55" t="n">
        <v>0</v>
      </c>
      <c r="AB61" s="55" t="n">
        <v>0</v>
      </c>
      <c r="AC61" s="55" t="n">
        <v>0</v>
      </c>
    </row>
    <row r="62" ht="22" customHeight="1">
      <c r="A62" s="51" t="inlineStr">
        <is>
          <t>aws-codecommit-pipeline</t>
        </is>
      </c>
      <c r="B62" s="52" t="inlineStr">
        <is>
          <t>AWS CodePipeline + CodeBuild + CodeCommit</t>
        </is>
      </c>
      <c r="C62" s="51" t="n">
        <v>1</v>
      </c>
      <c r="D62" s="51" t="inlineStr">
        <is>
          <t>ci_seq</t>
        </is>
      </c>
      <c r="E62" s="51" t="inlineStr">
        <is>
          <t>per_commit</t>
        </is>
      </c>
      <c r="F62" s="51" t="n">
        <v>0</v>
      </c>
      <c r="G62" s="51" t="n">
        <v>0</v>
      </c>
      <c r="H62" s="51" t="n">
        <v>0</v>
      </c>
      <c r="I62" s="51" t="n">
        <v>0</v>
      </c>
      <c r="J62" s="51" t="n">
        <v>0</v>
      </c>
      <c r="K62" s="51" t="n">
        <v>0.02</v>
      </c>
      <c r="L62" s="51" t="n">
        <v>365</v>
      </c>
      <c r="M62" s="51" t="n">
        <v>0.1</v>
      </c>
      <c r="N62" s="51" t="n">
        <v>0.2</v>
      </c>
      <c r="O62" s="53">
        <f>INDEX('02_Freq_Weight'!$E$3:$E$9,MATCH(E62,'02_Freq_Weight'!$A$3:$A$9,0))</f>
        <v/>
      </c>
      <c r="P62" s="54">
        <f>$K62*'05_Params'!$B$4*POWER(1+$N62,'05_Params'!$B$13/12)*MIN($L62,'05_Params'!$B$13*30.44)*(1+$M62)</f>
        <v/>
      </c>
      <c r="Q62" s="54">
        <f>$K62*'05_Params'!$B$4*POWER(1+$N62,'05_Params'!$B$14/12)*MIN($L62,'05_Params'!$B$14*30.44)*(1+$M62)</f>
        <v/>
      </c>
      <c r="R62" s="54">
        <f>$K62*'05_Params'!$B$4*POWER(1+$N62,'05_Params'!$B$15/12)*MIN($L62,'05_Params'!$B$15*30.44)*(1+$M62)</f>
        <v/>
      </c>
      <c r="S62" s="54">
        <f>$K62*'05_Params'!$B$4*POWER(1+$N62,'05_Params'!$B$16/12)*MIN($L62,'05_Params'!$B$16*30.44)*(1+$M62)</f>
        <v/>
      </c>
      <c r="T62" s="55" t="n">
        <v>0</v>
      </c>
      <c r="U62" s="55" t="n">
        <v>0</v>
      </c>
      <c r="V62" s="55" t="n">
        <v>0</v>
      </c>
      <c r="W62" s="55" t="n">
        <v>0</v>
      </c>
      <c r="X62" s="55" t="n">
        <v>0</v>
      </c>
      <c r="Y62" s="55" t="n">
        <v>0</v>
      </c>
      <c r="Z62" s="55" t="n">
        <v>0</v>
      </c>
      <c r="AA62" s="55" t="n">
        <v>0</v>
      </c>
      <c r="AB62" s="55" t="n">
        <v>0</v>
      </c>
      <c r="AC62" s="55" t="n">
        <v>0</v>
      </c>
    </row>
    <row r="63" ht="22" customHeight="1">
      <c r="A63" s="51" t="inlineStr">
        <is>
          <t>gcp-cloud-build</t>
        </is>
      </c>
      <c r="B63" s="52" t="inlineStr">
        <is>
          <t>Google Cloud Build + Source Repositories</t>
        </is>
      </c>
      <c r="C63" s="51" t="n">
        <v>1</v>
      </c>
      <c r="D63" s="51" t="inlineStr">
        <is>
          <t>ci_seq</t>
        </is>
      </c>
      <c r="E63" s="51" t="inlineStr">
        <is>
          <t>per_commit</t>
        </is>
      </c>
      <c r="F63" s="51" t="n">
        <v>0</v>
      </c>
      <c r="G63" s="51" t="n">
        <v>0</v>
      </c>
      <c r="H63" s="51" t="n">
        <v>0</v>
      </c>
      <c r="I63" s="51" t="n">
        <v>0</v>
      </c>
      <c r="J63" s="51" t="n">
        <v>0</v>
      </c>
      <c r="K63" s="51" t="n">
        <v>0.02</v>
      </c>
      <c r="L63" s="51" t="n">
        <v>365</v>
      </c>
      <c r="M63" s="51" t="n">
        <v>0.1</v>
      </c>
      <c r="N63" s="51" t="n">
        <v>0.2</v>
      </c>
      <c r="O63" s="53">
        <f>INDEX('02_Freq_Weight'!$E$3:$E$9,MATCH(E63,'02_Freq_Weight'!$A$3:$A$9,0))</f>
        <v/>
      </c>
      <c r="P63" s="54">
        <f>$K63*'05_Params'!$B$4*POWER(1+$N63,'05_Params'!$B$13/12)*MIN($L63,'05_Params'!$B$13*30.44)*(1+$M63)</f>
        <v/>
      </c>
      <c r="Q63" s="54">
        <f>$K63*'05_Params'!$B$4*POWER(1+$N63,'05_Params'!$B$14/12)*MIN($L63,'05_Params'!$B$14*30.44)*(1+$M63)</f>
        <v/>
      </c>
      <c r="R63" s="54">
        <f>$K63*'05_Params'!$B$4*POWER(1+$N63,'05_Params'!$B$15/12)*MIN($L63,'05_Params'!$B$15*30.44)*(1+$M63)</f>
        <v/>
      </c>
      <c r="S63" s="54">
        <f>$K63*'05_Params'!$B$4*POWER(1+$N63,'05_Params'!$B$16/12)*MIN($L63,'05_Params'!$B$16*30.44)*(1+$M63)</f>
        <v/>
      </c>
      <c r="T63" s="55" t="n">
        <v>0</v>
      </c>
      <c r="U63" s="55" t="n">
        <v>0</v>
      </c>
      <c r="V63" s="55" t="n">
        <v>0</v>
      </c>
      <c r="W63" s="55" t="n">
        <v>0</v>
      </c>
      <c r="X63" s="55" t="n">
        <v>0</v>
      </c>
      <c r="Y63" s="55" t="n">
        <v>0</v>
      </c>
      <c r="Z63" s="55" t="n">
        <v>0</v>
      </c>
      <c r="AA63" s="55" t="n">
        <v>0</v>
      </c>
      <c r="AB63" s="55" t="n">
        <v>0</v>
      </c>
      <c r="AC63" s="55" t="n">
        <v>0</v>
      </c>
    </row>
    <row r="64" ht="22" customHeight="1">
      <c r="A64" s="65" t="inlineStr">
        <is>
          <t>azure-container-registry</t>
        </is>
      </c>
      <c r="B64" s="66" t="inlineStr">
        <is>
          <t>Azure Container Registry (ACR)</t>
        </is>
      </c>
      <c r="C64" s="65" t="n">
        <v>4</v>
      </c>
      <c r="D64" s="65" t="inlineStr">
        <is>
          <t>ci_seq</t>
        </is>
      </c>
      <c r="E64" s="65" t="inlineStr">
        <is>
          <t>per_build</t>
        </is>
      </c>
      <c r="F64" s="65" t="n">
        <v>0</v>
      </c>
      <c r="G64" s="65" t="n">
        <v>0</v>
      </c>
      <c r="H64" s="65" t="n">
        <v>0</v>
      </c>
      <c r="I64" s="65" t="n">
        <v>0</v>
      </c>
      <c r="J64" s="65" t="n">
        <v>0</v>
      </c>
      <c r="K64" s="65" t="n">
        <v>0.5</v>
      </c>
      <c r="L64" s="65" t="n">
        <v>365</v>
      </c>
      <c r="M64" s="65" t="n">
        <v>0.1</v>
      </c>
      <c r="N64" s="65" t="n">
        <v>0.3</v>
      </c>
      <c r="O64" s="67">
        <f>INDEX('02_Freq_Weight'!$E$3:$E$9,MATCH(E64,'02_Freq_Weight'!$A$3:$A$9,0))</f>
        <v/>
      </c>
      <c r="P64" s="68">
        <f>$K64*'05_Params'!$B$4*POWER(1+$N64,'05_Params'!$B$13/12)*MIN($L64,'05_Params'!$B$13*30.44)*(1+$M64)</f>
        <v/>
      </c>
      <c r="Q64" s="68">
        <f>$K64*'05_Params'!$B$4*POWER(1+$N64,'05_Params'!$B$14/12)*MIN($L64,'05_Params'!$B$14*30.44)*(1+$M64)</f>
        <v/>
      </c>
      <c r="R64" s="68">
        <f>$K64*'05_Params'!$B$4*POWER(1+$N64,'05_Params'!$B$15/12)*MIN($L64,'05_Params'!$B$15*30.44)*(1+$M64)</f>
        <v/>
      </c>
      <c r="S64" s="68">
        <f>$K64*'05_Params'!$B$4*POWER(1+$N64,'05_Params'!$B$16/12)*MIN($L64,'05_Params'!$B$16*30.44)*(1+$M64)</f>
        <v/>
      </c>
      <c r="T64" s="55" t="n">
        <v>0</v>
      </c>
      <c r="U64" s="55" t="n">
        <v>0</v>
      </c>
      <c r="V64" s="55" t="n">
        <v>0</v>
      </c>
      <c r="W64" s="55" t="n">
        <v>0</v>
      </c>
      <c r="X64" s="55" t="n">
        <v>0</v>
      </c>
      <c r="Y64" s="55" t="n">
        <v>0</v>
      </c>
      <c r="Z64" s="55" t="n">
        <v>0</v>
      </c>
      <c r="AA64" s="55" t="n">
        <v>0</v>
      </c>
      <c r="AB64" s="55" t="n">
        <v>0</v>
      </c>
      <c r="AC64" s="55" t="n">
        <v>0</v>
      </c>
    </row>
    <row r="65" ht="22" customHeight="1">
      <c r="A65" s="65" t="inlineStr">
        <is>
          <t>aws-ecr</t>
        </is>
      </c>
      <c r="B65" s="66" t="inlineStr">
        <is>
          <t>Amazon Elastic Container Registry (ECR)</t>
        </is>
      </c>
      <c r="C65" s="65" t="n">
        <v>4</v>
      </c>
      <c r="D65" s="65" t="inlineStr">
        <is>
          <t>ci_seq</t>
        </is>
      </c>
      <c r="E65" s="65" t="inlineStr">
        <is>
          <t>per_build</t>
        </is>
      </c>
      <c r="F65" s="65" t="n">
        <v>0</v>
      </c>
      <c r="G65" s="65" t="n">
        <v>0</v>
      </c>
      <c r="H65" s="65" t="n">
        <v>0</v>
      </c>
      <c r="I65" s="65" t="n">
        <v>0</v>
      </c>
      <c r="J65" s="65" t="n">
        <v>0</v>
      </c>
      <c r="K65" s="65" t="n">
        <v>0.5</v>
      </c>
      <c r="L65" s="65" t="n">
        <v>365</v>
      </c>
      <c r="M65" s="65" t="n">
        <v>0.1</v>
      </c>
      <c r="N65" s="65" t="n">
        <v>0.3</v>
      </c>
      <c r="O65" s="67">
        <f>INDEX('02_Freq_Weight'!$E$3:$E$9,MATCH(E65,'02_Freq_Weight'!$A$3:$A$9,0))</f>
        <v/>
      </c>
      <c r="P65" s="68">
        <f>$K65*'05_Params'!$B$4*POWER(1+$N65,'05_Params'!$B$13/12)*MIN($L65,'05_Params'!$B$13*30.44)*(1+$M65)</f>
        <v/>
      </c>
      <c r="Q65" s="68">
        <f>$K65*'05_Params'!$B$4*POWER(1+$N65,'05_Params'!$B$14/12)*MIN($L65,'05_Params'!$B$14*30.44)*(1+$M65)</f>
        <v/>
      </c>
      <c r="R65" s="68">
        <f>$K65*'05_Params'!$B$4*POWER(1+$N65,'05_Params'!$B$15/12)*MIN($L65,'05_Params'!$B$15*30.44)*(1+$M65)</f>
        <v/>
      </c>
      <c r="S65" s="68">
        <f>$K65*'05_Params'!$B$4*POWER(1+$N65,'05_Params'!$B$16/12)*MIN($L65,'05_Params'!$B$16*30.44)*(1+$M65)</f>
        <v/>
      </c>
      <c r="T65" s="55" t="n">
        <v>0</v>
      </c>
      <c r="U65" s="55" t="n">
        <v>0</v>
      </c>
      <c r="V65" s="55" t="n">
        <v>0</v>
      </c>
      <c r="W65" s="55" t="n">
        <v>0</v>
      </c>
      <c r="X65" s="55" t="n">
        <v>0</v>
      </c>
      <c r="Y65" s="55" t="n">
        <v>0</v>
      </c>
      <c r="Z65" s="55" t="n">
        <v>0</v>
      </c>
      <c r="AA65" s="55" t="n">
        <v>0</v>
      </c>
      <c r="AB65" s="55" t="n">
        <v>0</v>
      </c>
      <c r="AC65" s="55" t="n">
        <v>0</v>
      </c>
    </row>
    <row r="66" ht="22" customHeight="1">
      <c r="A66" s="65" t="inlineStr">
        <is>
          <t>gcp-artifact-registry</t>
        </is>
      </c>
      <c r="B66" s="66" t="inlineStr">
        <is>
          <t>Google Artifact Registry (GAR)</t>
        </is>
      </c>
      <c r="C66" s="65" t="n">
        <v>4</v>
      </c>
      <c r="D66" s="65" t="inlineStr">
        <is>
          <t>ci_seq</t>
        </is>
      </c>
      <c r="E66" s="65" t="inlineStr">
        <is>
          <t>per_build</t>
        </is>
      </c>
      <c r="F66" s="65" t="n">
        <v>0</v>
      </c>
      <c r="G66" s="65" t="n">
        <v>0</v>
      </c>
      <c r="H66" s="65" t="n">
        <v>0</v>
      </c>
      <c r="I66" s="65" t="n">
        <v>0</v>
      </c>
      <c r="J66" s="65" t="n">
        <v>0</v>
      </c>
      <c r="K66" s="65" t="n">
        <v>0.5</v>
      </c>
      <c r="L66" s="65" t="n">
        <v>365</v>
      </c>
      <c r="M66" s="65" t="n">
        <v>0.1</v>
      </c>
      <c r="N66" s="65" t="n">
        <v>0.3</v>
      </c>
      <c r="O66" s="67">
        <f>INDEX('02_Freq_Weight'!$E$3:$E$9,MATCH(E66,'02_Freq_Weight'!$A$3:$A$9,0))</f>
        <v/>
      </c>
      <c r="P66" s="68">
        <f>$K66*'05_Params'!$B$4*POWER(1+$N66,'05_Params'!$B$13/12)*MIN($L66,'05_Params'!$B$13*30.44)*(1+$M66)</f>
        <v/>
      </c>
      <c r="Q66" s="68">
        <f>$K66*'05_Params'!$B$4*POWER(1+$N66,'05_Params'!$B$14/12)*MIN($L66,'05_Params'!$B$14*30.44)*(1+$M66)</f>
        <v/>
      </c>
      <c r="R66" s="68">
        <f>$K66*'05_Params'!$B$4*POWER(1+$N66,'05_Params'!$B$15/12)*MIN($L66,'05_Params'!$B$15*30.44)*(1+$M66)</f>
        <v/>
      </c>
      <c r="S66" s="68">
        <f>$K66*'05_Params'!$B$4*POWER(1+$N66,'05_Params'!$B$16/12)*MIN($L66,'05_Params'!$B$16*30.44)*(1+$M66)</f>
        <v/>
      </c>
      <c r="T66" s="55" t="n">
        <v>0</v>
      </c>
      <c r="U66" s="55" t="n">
        <v>0</v>
      </c>
      <c r="V66" s="55" t="n">
        <v>0</v>
      </c>
      <c r="W66" s="55" t="n">
        <v>0</v>
      </c>
      <c r="X66" s="55" t="n">
        <v>0</v>
      </c>
      <c r="Y66" s="55" t="n">
        <v>0</v>
      </c>
      <c r="Z66" s="55" t="n">
        <v>0</v>
      </c>
      <c r="AA66" s="55" t="n">
        <v>0</v>
      </c>
      <c r="AB66" s="55" t="n">
        <v>0</v>
      </c>
      <c r="AC66" s="55" t="n">
        <v>0</v>
      </c>
    </row>
    <row r="67" ht="22" customHeight="1">
      <c r="A67" s="69" t="inlineStr">
        <is>
          <t>azure-kubernetes-service</t>
        </is>
      </c>
      <c r="B67" s="70" t="inlineStr">
        <is>
          <t>Azure Kubernetes Service (AKS)</t>
        </is>
      </c>
      <c r="C67" s="69" t="n">
        <v>5</v>
      </c>
      <c r="D67" s="69" t="inlineStr">
        <is>
          <t>resident</t>
        </is>
      </c>
      <c r="E67" s="69" t="inlineStr">
        <is>
          <t>resident</t>
        </is>
      </c>
      <c r="F67" s="69" t="n">
        <v>0</v>
      </c>
      <c r="G67" s="69" t="n">
        <v>0</v>
      </c>
      <c r="H67" s="69" t="n">
        <v>0</v>
      </c>
      <c r="I67" s="69" t="n">
        <v>0</v>
      </c>
      <c r="J67" s="69" t="n">
        <v>0</v>
      </c>
      <c r="K67" s="69" t="n">
        <v>0.1</v>
      </c>
      <c r="L67" s="69" t="n">
        <v>90</v>
      </c>
      <c r="M67" s="69" t="n">
        <v>0.1</v>
      </c>
      <c r="N67" s="69" t="n">
        <v>0.25</v>
      </c>
      <c r="O67" s="71">
        <f>INDEX('02_Freq_Weight'!$E$3:$E$9,MATCH(E67,'02_Freq_Weight'!$A$3:$A$9,0))</f>
        <v/>
      </c>
      <c r="P67" s="72">
        <f>$K67*'05_Params'!$B$4*POWER(1+$N67,'05_Params'!$B$13/12)*MIN($L67,'05_Params'!$B$13*30.44)*(1+$M67)</f>
        <v/>
      </c>
      <c r="Q67" s="72">
        <f>$K67*'05_Params'!$B$4*POWER(1+$N67,'05_Params'!$B$14/12)*MIN($L67,'05_Params'!$B$14*30.44)*(1+$M67)</f>
        <v/>
      </c>
      <c r="R67" s="72">
        <f>$K67*'05_Params'!$B$4*POWER(1+$N67,'05_Params'!$B$15/12)*MIN($L67,'05_Params'!$B$15*30.44)*(1+$M67)</f>
        <v/>
      </c>
      <c r="S67" s="72">
        <f>$K67*'05_Params'!$B$4*POWER(1+$N67,'05_Params'!$B$16/12)*MIN($L67,'05_Params'!$B$16*30.44)*(1+$M67)</f>
        <v/>
      </c>
      <c r="T67" s="55" t="n">
        <v>0</v>
      </c>
      <c r="U67" s="55" t="n">
        <v>0</v>
      </c>
      <c r="V67" s="55" t="n">
        <v>0</v>
      </c>
      <c r="W67" s="55" t="n">
        <v>0</v>
      </c>
      <c r="X67" s="55" t="n">
        <v>0</v>
      </c>
      <c r="Y67" s="55" t="n">
        <v>0</v>
      </c>
      <c r="Z67" s="55" t="n">
        <v>0</v>
      </c>
      <c r="AA67" s="55" t="n">
        <v>0</v>
      </c>
      <c r="AB67" s="55" t="n">
        <v>0</v>
      </c>
      <c r="AC67" s="55" t="n">
        <v>0</v>
      </c>
    </row>
    <row r="68" ht="22" customHeight="1">
      <c r="A68" s="69" t="inlineStr">
        <is>
          <t>aws-eks</t>
        </is>
      </c>
      <c r="B68" s="70" t="inlineStr">
        <is>
          <t>Amazon Elastic Kubernetes Service (EKS)</t>
        </is>
      </c>
      <c r="C68" s="69" t="n">
        <v>5</v>
      </c>
      <c r="D68" s="69" t="inlineStr">
        <is>
          <t>resident</t>
        </is>
      </c>
      <c r="E68" s="69" t="inlineStr">
        <is>
          <t>resident</t>
        </is>
      </c>
      <c r="F68" s="69" t="n">
        <v>0</v>
      </c>
      <c r="G68" s="69" t="n">
        <v>0</v>
      </c>
      <c r="H68" s="69" t="n">
        <v>0</v>
      </c>
      <c r="I68" s="69" t="n">
        <v>0</v>
      </c>
      <c r="J68" s="69" t="n">
        <v>0</v>
      </c>
      <c r="K68" s="69" t="n">
        <v>0.1</v>
      </c>
      <c r="L68" s="69" t="n">
        <v>90</v>
      </c>
      <c r="M68" s="69" t="n">
        <v>0.1</v>
      </c>
      <c r="N68" s="69" t="n">
        <v>0.25</v>
      </c>
      <c r="O68" s="71">
        <f>INDEX('02_Freq_Weight'!$E$3:$E$9,MATCH(E68,'02_Freq_Weight'!$A$3:$A$9,0))</f>
        <v/>
      </c>
      <c r="P68" s="72">
        <f>$K68*'05_Params'!$B$4*POWER(1+$N68,'05_Params'!$B$13/12)*MIN($L68,'05_Params'!$B$13*30.44)*(1+$M68)</f>
        <v/>
      </c>
      <c r="Q68" s="72">
        <f>$K68*'05_Params'!$B$4*POWER(1+$N68,'05_Params'!$B$14/12)*MIN($L68,'05_Params'!$B$14*30.44)*(1+$M68)</f>
        <v/>
      </c>
      <c r="R68" s="72">
        <f>$K68*'05_Params'!$B$4*POWER(1+$N68,'05_Params'!$B$15/12)*MIN($L68,'05_Params'!$B$15*30.44)*(1+$M68)</f>
        <v/>
      </c>
      <c r="S68" s="72">
        <f>$K68*'05_Params'!$B$4*POWER(1+$N68,'05_Params'!$B$16/12)*MIN($L68,'05_Params'!$B$16*30.44)*(1+$M68)</f>
        <v/>
      </c>
      <c r="T68" s="55" t="n">
        <v>0</v>
      </c>
      <c r="U68" s="55" t="n">
        <v>0</v>
      </c>
      <c r="V68" s="55" t="n">
        <v>0</v>
      </c>
      <c r="W68" s="55" t="n">
        <v>0</v>
      </c>
      <c r="X68" s="55" t="n">
        <v>0</v>
      </c>
      <c r="Y68" s="55" t="n">
        <v>0</v>
      </c>
      <c r="Z68" s="55" t="n">
        <v>0</v>
      </c>
      <c r="AA68" s="55" t="n">
        <v>0</v>
      </c>
      <c r="AB68" s="55" t="n">
        <v>0</v>
      </c>
      <c r="AC68" s="55" t="n">
        <v>0</v>
      </c>
    </row>
    <row r="69" ht="22" customHeight="1">
      <c r="A69" s="69" t="inlineStr">
        <is>
          <t>gcp-gke</t>
        </is>
      </c>
      <c r="B69" s="70" t="inlineStr">
        <is>
          <t>Google Kubernetes Engine (GKE)</t>
        </is>
      </c>
      <c r="C69" s="69" t="n">
        <v>5</v>
      </c>
      <c r="D69" s="69" t="inlineStr">
        <is>
          <t>resident</t>
        </is>
      </c>
      <c r="E69" s="69" t="inlineStr">
        <is>
          <t>resident</t>
        </is>
      </c>
      <c r="F69" s="69" t="n">
        <v>0</v>
      </c>
      <c r="G69" s="69" t="n">
        <v>0</v>
      </c>
      <c r="H69" s="69" t="n">
        <v>0</v>
      </c>
      <c r="I69" s="69" t="n">
        <v>0</v>
      </c>
      <c r="J69" s="69" t="n">
        <v>0</v>
      </c>
      <c r="K69" s="69" t="n">
        <v>0.1</v>
      </c>
      <c r="L69" s="69" t="n">
        <v>90</v>
      </c>
      <c r="M69" s="69" t="n">
        <v>0.1</v>
      </c>
      <c r="N69" s="69" t="n">
        <v>0.25</v>
      </c>
      <c r="O69" s="71">
        <f>INDEX('02_Freq_Weight'!$E$3:$E$9,MATCH(E69,'02_Freq_Weight'!$A$3:$A$9,0))</f>
        <v/>
      </c>
      <c r="P69" s="72">
        <f>$K69*'05_Params'!$B$4*POWER(1+$N69,'05_Params'!$B$13/12)*MIN($L69,'05_Params'!$B$13*30.44)*(1+$M69)</f>
        <v/>
      </c>
      <c r="Q69" s="72">
        <f>$K69*'05_Params'!$B$4*POWER(1+$N69,'05_Params'!$B$14/12)*MIN($L69,'05_Params'!$B$14*30.44)*(1+$M69)</f>
        <v/>
      </c>
      <c r="R69" s="72">
        <f>$K69*'05_Params'!$B$4*POWER(1+$N69,'05_Params'!$B$15/12)*MIN($L69,'05_Params'!$B$15*30.44)*(1+$M69)</f>
        <v/>
      </c>
      <c r="S69" s="72">
        <f>$K69*'05_Params'!$B$4*POWER(1+$N69,'05_Params'!$B$16/12)*MIN($L69,'05_Params'!$B$16*30.44)*(1+$M69)</f>
        <v/>
      </c>
      <c r="T69" s="55" t="n">
        <v>0</v>
      </c>
      <c r="U69" s="55" t="n">
        <v>0</v>
      </c>
      <c r="V69" s="55" t="n">
        <v>0</v>
      </c>
      <c r="W69" s="55" t="n">
        <v>0</v>
      </c>
      <c r="X69" s="55" t="n">
        <v>0</v>
      </c>
      <c r="Y69" s="55" t="n">
        <v>0</v>
      </c>
      <c r="Z69" s="55" t="n">
        <v>0</v>
      </c>
      <c r="AA69" s="55" t="n">
        <v>0</v>
      </c>
      <c r="AB69" s="55" t="n">
        <v>0</v>
      </c>
      <c r="AC69" s="55" t="n">
        <v>0</v>
      </c>
    </row>
    <row r="70" ht="22" customHeight="1">
      <c r="A70" s="69" t="inlineStr">
        <is>
          <t>azure-key-vault</t>
        </is>
      </c>
      <c r="B70" s="70" t="inlineStr">
        <is>
          <t>Azure Key Vault</t>
        </is>
      </c>
      <c r="C70" s="69" t="n">
        <v>5</v>
      </c>
      <c r="D70" s="69" t="inlineStr">
        <is>
          <t>resident</t>
        </is>
      </c>
      <c r="E70" s="69" t="inlineStr">
        <is>
          <t>resident</t>
        </is>
      </c>
      <c r="F70" s="69" t="n">
        <v>0</v>
      </c>
      <c r="G70" s="69" t="n">
        <v>0</v>
      </c>
      <c r="H70" s="69" t="n">
        <v>0</v>
      </c>
      <c r="I70" s="69" t="n">
        <v>0</v>
      </c>
      <c r="J70" s="69" t="n">
        <v>0</v>
      </c>
      <c r="K70" s="69" t="n">
        <v>0.01</v>
      </c>
      <c r="L70" s="69" t="n">
        <v>2555</v>
      </c>
      <c r="M70" s="69" t="n">
        <v>0.05</v>
      </c>
      <c r="N70" s="69" t="n">
        <v>0.1</v>
      </c>
      <c r="O70" s="71">
        <f>INDEX('02_Freq_Weight'!$E$3:$E$9,MATCH(E70,'02_Freq_Weight'!$A$3:$A$9,0))</f>
        <v/>
      </c>
      <c r="P70" s="72">
        <f>$K70*'05_Params'!$B$4*POWER(1+$N70,'05_Params'!$B$13/12)*MIN($L70,'05_Params'!$B$13*30.44)*(1+$M70)</f>
        <v/>
      </c>
      <c r="Q70" s="72">
        <f>$K70*'05_Params'!$B$4*POWER(1+$N70,'05_Params'!$B$14/12)*MIN($L70,'05_Params'!$B$14*30.44)*(1+$M70)</f>
        <v/>
      </c>
      <c r="R70" s="72">
        <f>$K70*'05_Params'!$B$4*POWER(1+$N70,'05_Params'!$B$15/12)*MIN($L70,'05_Params'!$B$15*30.44)*(1+$M70)</f>
        <v/>
      </c>
      <c r="S70" s="72">
        <f>$K70*'05_Params'!$B$4*POWER(1+$N70,'05_Params'!$B$16/12)*MIN($L70,'05_Params'!$B$16*30.44)*(1+$M70)</f>
        <v/>
      </c>
      <c r="T70" s="55" t="n">
        <v>0</v>
      </c>
      <c r="U70" s="55" t="n">
        <v>0</v>
      </c>
      <c r="V70" s="55" t="n">
        <v>0</v>
      </c>
      <c r="W70" s="55" t="n">
        <v>0</v>
      </c>
      <c r="X70" s="55" t="n">
        <v>0</v>
      </c>
      <c r="Y70" s="55" t="n">
        <v>0</v>
      </c>
      <c r="Z70" s="55" t="n">
        <v>0</v>
      </c>
      <c r="AA70" s="55" t="n">
        <v>0</v>
      </c>
      <c r="AB70" s="55" t="n">
        <v>0</v>
      </c>
      <c r="AC70" s="55" t="n">
        <v>0</v>
      </c>
    </row>
    <row r="71" ht="22" customHeight="1">
      <c r="A71" s="69" t="inlineStr">
        <is>
          <t>aws-secrets-manager</t>
        </is>
      </c>
      <c r="B71" s="70" t="inlineStr">
        <is>
          <t>AWS Secrets Manager + KMS</t>
        </is>
      </c>
      <c r="C71" s="69" t="n">
        <v>5</v>
      </c>
      <c r="D71" s="69" t="inlineStr">
        <is>
          <t>resident</t>
        </is>
      </c>
      <c r="E71" s="69" t="inlineStr">
        <is>
          <t>resident</t>
        </is>
      </c>
      <c r="F71" s="69" t="n">
        <v>0</v>
      </c>
      <c r="G71" s="69" t="n">
        <v>0</v>
      </c>
      <c r="H71" s="69" t="n">
        <v>0</v>
      </c>
      <c r="I71" s="69" t="n">
        <v>0</v>
      </c>
      <c r="J71" s="69" t="n">
        <v>0</v>
      </c>
      <c r="K71" s="69" t="n">
        <v>0.01</v>
      </c>
      <c r="L71" s="69" t="n">
        <v>2555</v>
      </c>
      <c r="M71" s="69" t="n">
        <v>0.05</v>
      </c>
      <c r="N71" s="69" t="n">
        <v>0.1</v>
      </c>
      <c r="O71" s="71">
        <f>INDEX('02_Freq_Weight'!$E$3:$E$9,MATCH(E71,'02_Freq_Weight'!$A$3:$A$9,0))</f>
        <v/>
      </c>
      <c r="P71" s="72">
        <f>$K71*'05_Params'!$B$4*POWER(1+$N71,'05_Params'!$B$13/12)*MIN($L71,'05_Params'!$B$13*30.44)*(1+$M71)</f>
        <v/>
      </c>
      <c r="Q71" s="72">
        <f>$K71*'05_Params'!$B$4*POWER(1+$N71,'05_Params'!$B$14/12)*MIN($L71,'05_Params'!$B$14*30.44)*(1+$M71)</f>
        <v/>
      </c>
      <c r="R71" s="72">
        <f>$K71*'05_Params'!$B$4*POWER(1+$N71,'05_Params'!$B$15/12)*MIN($L71,'05_Params'!$B$15*30.44)*(1+$M71)</f>
        <v/>
      </c>
      <c r="S71" s="72">
        <f>$K71*'05_Params'!$B$4*POWER(1+$N71,'05_Params'!$B$16/12)*MIN($L71,'05_Params'!$B$16*30.44)*(1+$M71)</f>
        <v/>
      </c>
      <c r="T71" s="55" t="n">
        <v>0</v>
      </c>
      <c r="U71" s="55" t="n">
        <v>0</v>
      </c>
      <c r="V71" s="55" t="n">
        <v>0</v>
      </c>
      <c r="W71" s="55" t="n">
        <v>0</v>
      </c>
      <c r="X71" s="55" t="n">
        <v>0</v>
      </c>
      <c r="Y71" s="55" t="n">
        <v>0</v>
      </c>
      <c r="Z71" s="55" t="n">
        <v>0</v>
      </c>
      <c r="AA71" s="55" t="n">
        <v>0</v>
      </c>
      <c r="AB71" s="55" t="n">
        <v>0</v>
      </c>
      <c r="AC71" s="55" t="n">
        <v>0</v>
      </c>
    </row>
    <row r="72" ht="22" customHeight="1">
      <c r="A72" s="73" t="inlineStr">
        <is>
          <t>azure-monitor</t>
        </is>
      </c>
      <c r="B72" s="74" t="inlineStr">
        <is>
          <t>Azure Monitor + Log Analytics + Application Insights</t>
        </is>
      </c>
      <c r="C72" s="73" t="n">
        <v>6</v>
      </c>
      <c r="D72" s="73" t="inlineStr">
        <is>
          <t>resident</t>
        </is>
      </c>
      <c r="E72" s="73" t="inlineStr">
        <is>
          <t>resident</t>
        </is>
      </c>
      <c r="F72" s="73" t="n">
        <v>0</v>
      </c>
      <c r="G72" s="73" t="n">
        <v>0</v>
      </c>
      <c r="H72" s="73" t="n">
        <v>0</v>
      </c>
      <c r="I72" s="73" t="n">
        <v>0</v>
      </c>
      <c r="J72" s="73" t="n">
        <v>0</v>
      </c>
      <c r="K72" s="73" t="n">
        <v>1</v>
      </c>
      <c r="L72" s="73" t="n">
        <v>90</v>
      </c>
      <c r="M72" s="73" t="n">
        <v>0.1</v>
      </c>
      <c r="N72" s="73" t="n">
        <v>0.3</v>
      </c>
      <c r="O72" s="75">
        <f>INDEX('02_Freq_Weight'!$E$3:$E$9,MATCH(E72,'02_Freq_Weight'!$A$3:$A$9,0))</f>
        <v/>
      </c>
      <c r="P72" s="76">
        <f>$K72*'05_Params'!$B$4*POWER(1+$N72,'05_Params'!$B$13/12)*MIN($L72,'05_Params'!$B$13*30.44)*(1+$M72)</f>
        <v/>
      </c>
      <c r="Q72" s="76">
        <f>$K72*'05_Params'!$B$4*POWER(1+$N72,'05_Params'!$B$14/12)*MIN($L72,'05_Params'!$B$14*30.44)*(1+$M72)</f>
        <v/>
      </c>
      <c r="R72" s="76">
        <f>$K72*'05_Params'!$B$4*POWER(1+$N72,'05_Params'!$B$15/12)*MIN($L72,'05_Params'!$B$15*30.44)*(1+$M72)</f>
        <v/>
      </c>
      <c r="S72" s="76">
        <f>$K72*'05_Params'!$B$4*POWER(1+$N72,'05_Params'!$B$16/12)*MIN($L72,'05_Params'!$B$16*30.44)*(1+$M72)</f>
        <v/>
      </c>
      <c r="T72" s="55" t="n">
        <v>0</v>
      </c>
      <c r="U72" s="55" t="n">
        <v>0</v>
      </c>
      <c r="V72" s="55" t="n">
        <v>0</v>
      </c>
      <c r="W72" s="55" t="n">
        <v>0</v>
      </c>
      <c r="X72" s="55" t="n">
        <v>0</v>
      </c>
      <c r="Y72" s="55" t="n">
        <v>0</v>
      </c>
      <c r="Z72" s="55" t="n">
        <v>0</v>
      </c>
      <c r="AA72" s="55" t="n">
        <v>0</v>
      </c>
      <c r="AB72" s="55" t="n">
        <v>0</v>
      </c>
      <c r="AC72" s="55" t="n">
        <v>0</v>
      </c>
    </row>
    <row r="73" ht="22" customHeight="1">
      <c r="A73" s="73" t="inlineStr">
        <is>
          <t>aws-cloudwatch</t>
        </is>
      </c>
      <c r="B73" s="74" t="inlineStr">
        <is>
          <t>Amazon CloudWatch + CloudTrail + X-Ray</t>
        </is>
      </c>
      <c r="C73" s="73" t="n">
        <v>6</v>
      </c>
      <c r="D73" s="73" t="inlineStr">
        <is>
          <t>resident</t>
        </is>
      </c>
      <c r="E73" s="73" t="inlineStr">
        <is>
          <t>resident</t>
        </is>
      </c>
      <c r="F73" s="73" t="n">
        <v>0</v>
      </c>
      <c r="G73" s="73" t="n">
        <v>0</v>
      </c>
      <c r="H73" s="73" t="n">
        <v>0</v>
      </c>
      <c r="I73" s="73" t="n">
        <v>0</v>
      </c>
      <c r="J73" s="73" t="n">
        <v>0</v>
      </c>
      <c r="K73" s="73" t="n">
        <v>1</v>
      </c>
      <c r="L73" s="73" t="n">
        <v>90</v>
      </c>
      <c r="M73" s="73" t="n">
        <v>0.1</v>
      </c>
      <c r="N73" s="73" t="n">
        <v>0.3</v>
      </c>
      <c r="O73" s="75">
        <f>INDEX('02_Freq_Weight'!$E$3:$E$9,MATCH(E73,'02_Freq_Weight'!$A$3:$A$9,0))</f>
        <v/>
      </c>
      <c r="P73" s="76">
        <f>$K73*'05_Params'!$B$4*POWER(1+$N73,'05_Params'!$B$13/12)*MIN($L73,'05_Params'!$B$13*30.44)*(1+$M73)</f>
        <v/>
      </c>
      <c r="Q73" s="76">
        <f>$K73*'05_Params'!$B$4*POWER(1+$N73,'05_Params'!$B$14/12)*MIN($L73,'05_Params'!$B$14*30.44)*(1+$M73)</f>
        <v/>
      </c>
      <c r="R73" s="76">
        <f>$K73*'05_Params'!$B$4*POWER(1+$N73,'05_Params'!$B$15/12)*MIN($L73,'05_Params'!$B$15*30.44)*(1+$M73)</f>
        <v/>
      </c>
      <c r="S73" s="76">
        <f>$K73*'05_Params'!$B$4*POWER(1+$N73,'05_Params'!$B$16/12)*MIN($L73,'05_Params'!$B$16*30.44)*(1+$M73)</f>
        <v/>
      </c>
      <c r="T73" s="55" t="n">
        <v>0</v>
      </c>
      <c r="U73" s="55" t="n">
        <v>0</v>
      </c>
      <c r="V73" s="55" t="n">
        <v>0</v>
      </c>
      <c r="W73" s="55" t="n">
        <v>0</v>
      </c>
      <c r="X73" s="55" t="n">
        <v>0</v>
      </c>
      <c r="Y73" s="55" t="n">
        <v>0</v>
      </c>
      <c r="Z73" s="55" t="n">
        <v>0</v>
      </c>
      <c r="AA73" s="55" t="n">
        <v>0</v>
      </c>
      <c r="AB73" s="55" t="n">
        <v>0</v>
      </c>
      <c r="AC73" s="55" t="n">
        <v>0</v>
      </c>
    </row>
    <row r="74" ht="22" customHeight="1">
      <c r="A74" s="73" t="inlineStr">
        <is>
          <t>gcp-cloud-operations</t>
        </is>
      </c>
      <c r="B74" s="74" t="inlineStr">
        <is>
          <t>Google Cloud Operations (Logging + Monitoring + Trace)</t>
        </is>
      </c>
      <c r="C74" s="73" t="n">
        <v>6</v>
      </c>
      <c r="D74" s="73" t="inlineStr">
        <is>
          <t>resident</t>
        </is>
      </c>
      <c r="E74" s="73" t="inlineStr">
        <is>
          <t>resident</t>
        </is>
      </c>
      <c r="F74" s="73" t="n">
        <v>0</v>
      </c>
      <c r="G74" s="73" t="n">
        <v>0</v>
      </c>
      <c r="H74" s="73" t="n">
        <v>0</v>
      </c>
      <c r="I74" s="73" t="n">
        <v>0</v>
      </c>
      <c r="J74" s="73" t="n">
        <v>0</v>
      </c>
      <c r="K74" s="73" t="n">
        <v>1</v>
      </c>
      <c r="L74" s="73" t="n">
        <v>90</v>
      </c>
      <c r="M74" s="73" t="n">
        <v>0.1</v>
      </c>
      <c r="N74" s="73" t="n">
        <v>0.3</v>
      </c>
      <c r="O74" s="75">
        <f>INDEX('02_Freq_Weight'!$E$3:$E$9,MATCH(E74,'02_Freq_Weight'!$A$3:$A$9,0))</f>
        <v/>
      </c>
      <c r="P74" s="76">
        <f>$K74*'05_Params'!$B$4*POWER(1+$N74,'05_Params'!$B$13/12)*MIN($L74,'05_Params'!$B$13*30.44)*(1+$M74)</f>
        <v/>
      </c>
      <c r="Q74" s="76">
        <f>$K74*'05_Params'!$B$4*POWER(1+$N74,'05_Params'!$B$14/12)*MIN($L74,'05_Params'!$B$14*30.44)*(1+$M74)</f>
        <v/>
      </c>
      <c r="R74" s="76">
        <f>$K74*'05_Params'!$B$4*POWER(1+$N74,'05_Params'!$B$15/12)*MIN($L74,'05_Params'!$B$15*30.44)*(1+$M74)</f>
        <v/>
      </c>
      <c r="S74" s="76">
        <f>$K74*'05_Params'!$B$4*POWER(1+$N74,'05_Params'!$B$16/12)*MIN($L74,'05_Params'!$B$16*30.44)*(1+$M74)</f>
        <v/>
      </c>
      <c r="T74" s="55" t="n">
        <v>0</v>
      </c>
      <c r="U74" s="55" t="n">
        <v>0</v>
      </c>
      <c r="V74" s="55" t="n">
        <v>0</v>
      </c>
      <c r="W74" s="55" t="n">
        <v>0</v>
      </c>
      <c r="X74" s="55" t="n">
        <v>0</v>
      </c>
      <c r="Y74" s="55" t="n">
        <v>0</v>
      </c>
      <c r="Z74" s="55" t="n">
        <v>0</v>
      </c>
      <c r="AA74" s="55" t="n">
        <v>0</v>
      </c>
      <c r="AB74" s="55" t="n">
        <v>0</v>
      </c>
      <c r="AC74" s="55" t="n">
        <v>0</v>
      </c>
    </row>
    <row r="75">
      <c r="A75" s="77" t="inlineStr">
        <is>
          <t>จำนวนเครื่องมือบน VM นี้</t>
        </is>
      </c>
      <c r="T75" s="78">
        <f>SUM(T3:T74)</f>
        <v/>
      </c>
      <c r="U75" s="78">
        <f>SUM(U3:U74)</f>
        <v/>
      </c>
      <c r="V75" s="78">
        <f>SUM(V3:V74)</f>
        <v/>
      </c>
      <c r="W75" s="78">
        <f>SUM(W3:W74)</f>
        <v/>
      </c>
      <c r="X75" s="78">
        <f>SUM(X3:X74)</f>
        <v/>
      </c>
      <c r="Y75" s="78">
        <f>SUM(Y3:Y74)</f>
        <v/>
      </c>
      <c r="Z75" s="78">
        <f>SUM(Z3:Z74)</f>
        <v/>
      </c>
      <c r="AA75" s="78">
        <f>SUM(AA3:AA74)</f>
        <v/>
      </c>
      <c r="AB75" s="78">
        <f>SUM(AB3:AB74)</f>
        <v/>
      </c>
      <c r="AC75" s="78">
        <f>SUM(AC3:AC74)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9" customWidth="1" min="28" max="28"/>
    <col width="9" customWidth="1" min="29" max="29"/>
    <col width="10" customWidth="1" min="30" max="30"/>
    <col width="10" customWidth="1" min="31" max="31"/>
    <col width="20" customWidth="1" min="32" max="32"/>
    <col width="16" customWidth="1" min="33" max="33"/>
    <col width="16" customWidth="1" min="34" max="34"/>
  </cols>
  <sheetData>
    <row r="1" ht="24" customHeight="1">
      <c r="A1" s="8" t="inlineStr">
        <is>
          <t>04 — ผลการคำนวณทรัพยากรต่อ VM (Minimum ที่ต้องจัดสรร)</t>
        </is>
      </c>
      <c r="C1" s="3" t="inlineStr">
        <is>
          <t>สูตรทั้งหมดอ้างอิงชีท 03 และ 05 — เปลี่ยนการติดตั้งที่ชีท 03 แล้วตัวเลขที่นี่จะเปลี่ยนตาม</t>
        </is>
      </c>
    </row>
    <row r="2" ht="58" customHeight="1">
      <c r="A2" s="9" t="inlineStr">
        <is>
          <t>VM</t>
        </is>
      </c>
      <c r="B2" s="9" t="inlineStr">
        <is>
          <t>บทบาทหน้าที่</t>
        </is>
      </c>
      <c r="C2" s="9" t="inlineStr">
        <is>
          <t>จำนวน
เครื่องมือ</t>
        </is>
      </c>
      <c r="D2" s="9" t="inlineStr">
        <is>
          <t>A: Peak-Max
vCPU</t>
        </is>
      </c>
      <c r="E2" s="9" t="inlineStr">
        <is>
          <t>A: Peak-Max
RAM</t>
        </is>
      </c>
      <c r="F2" s="9" t="inlineStr">
        <is>
          <t>B1 Strict
vCPU</t>
        </is>
      </c>
      <c r="G2" s="9" t="inlineStr">
        <is>
          <t>B1 Strict
RAM</t>
        </is>
      </c>
      <c r="H2" s="9" t="inlineStr">
        <is>
          <t>B2 Realistic
vCPU</t>
        </is>
      </c>
      <c r="I2" s="9" t="inlineStr">
        <is>
          <t>B2 Realistic
RAM</t>
        </is>
      </c>
      <c r="J2" s="9" t="inlineStr">
        <is>
          <t>C: Resident
vCPU</t>
        </is>
      </c>
      <c r="K2" s="9" t="inlineStr">
        <is>
          <t>C: Resident
RAM</t>
        </is>
      </c>
      <c r="L2" s="9" t="inlineStr">
        <is>
          <t>MAX(A,B,C)
vCPU</t>
        </is>
      </c>
      <c r="M2" s="9" t="inlineStr">
        <is>
          <t>MAX(A,B,C)
RAM</t>
        </is>
      </c>
      <c r="N2" s="9" t="inlineStr">
        <is>
          <t>+OS
vCPU</t>
        </is>
      </c>
      <c r="O2" s="9" t="inlineStr">
        <is>
          <t>+OS
RAM</t>
        </is>
      </c>
      <c r="P2" s="9" t="inlineStr">
        <is>
          <t>จัดสรร
vCPU</t>
        </is>
      </c>
      <c r="Q2" s="9" t="inlineStr">
        <is>
          <t>จัดสรร
RAM (GB)</t>
        </is>
      </c>
      <c r="R2" s="9" t="inlineStr">
        <is>
          <t>Install
รวม (GB)</t>
        </is>
      </c>
      <c r="S2" s="9" t="inlineStr">
        <is>
          <t>Data @H3
(GB)</t>
        </is>
      </c>
      <c r="T2" s="9" t="inlineStr">
        <is>
          <t>ต้องมี Disk OS
(GB)</t>
        </is>
      </c>
      <c r="U2" s="9" t="inlineStr">
        <is>
          <t>ต้องมี Disk Data
(GB)</t>
        </is>
      </c>
      <c r="V2" s="9" t="inlineStr">
        <is>
          <t>จัดสรร
Disk OS</t>
        </is>
      </c>
      <c r="W2" s="9" t="inlineStr">
        <is>
          <t>จัดสรร
Disk Data</t>
        </is>
      </c>
      <c r="X2" s="9" t="inlineStr">
        <is>
          <t>spec จริง
vCPU</t>
        </is>
      </c>
      <c r="Y2" s="9" t="inlineStr">
        <is>
          <t>spec จริง
RAM</t>
        </is>
      </c>
      <c r="Z2" s="9" t="inlineStr">
        <is>
          <t>spec จริง
Disk OS</t>
        </is>
      </c>
      <c r="AA2" s="9" t="inlineStr">
        <is>
          <t>spec จริง
Disk Data</t>
        </is>
      </c>
      <c r="AB2" s="9" t="inlineStr">
        <is>
          <t>ส่วนต่าง
vCPU</t>
        </is>
      </c>
      <c r="AC2" s="9" t="inlineStr">
        <is>
          <t>ส่วนต่าง
RAM</t>
        </is>
      </c>
      <c r="AD2" s="9" t="inlineStr">
        <is>
          <t>ส่วนต่าง
Disk OS</t>
        </is>
      </c>
      <c r="AE2" s="9" t="inlineStr">
        <is>
          <t>ส่วนต่าง
Disk Data</t>
        </is>
      </c>
      <c r="AF2" s="9" t="inlineStr">
        <is>
          <t>ผลประเมิน</t>
        </is>
      </c>
      <c r="AG2" s="9" t="inlineStr">
        <is>
          <t>ตัวกำหนด vCPU</t>
        </is>
      </c>
      <c r="AH2" s="9" t="inlineStr">
        <is>
          <t>ตัวกำหนด RAM</t>
        </is>
      </c>
    </row>
    <row r="3" ht="32" customHeight="1">
      <c r="A3" s="79" t="inlineStr">
        <is>
          <t>EDGE-01</t>
        </is>
      </c>
      <c r="B3" s="80" t="inlineStr">
        <is>
          <t>Edge / Reverse Proxy: รับ traffic ขาเข้า, WAF, TLS Termination, SSO</t>
        </is>
      </c>
      <c r="C3" s="81">
        <f>SUM('03_Colocation_Calc'!T$3:T$74)</f>
        <v/>
      </c>
      <c r="D3" s="82">
        <f>SUMPRODUCT(MAX('03_Colocation_Calc'!T$3:T$74*'03_Colocation_Calc'!$F$3:$F$74))</f>
        <v/>
      </c>
      <c r="E3" s="82">
        <f>SUMPRODUCT(MAX('03_Colocation_Calc'!T$3:T$74*'03_Colocation_Calc'!$G$3:$G$74))</f>
        <v/>
      </c>
      <c r="F3" s="82">
        <f>SUMPRODUCT('03_Colocation_Calc'!T$3:T$74,'03_Colocation_Calc'!$O$3:$O$74,'03_Colocation_Calc'!$F$3:$F$74)</f>
        <v/>
      </c>
      <c r="G3" s="82">
        <f>SUMPRODUCT('03_Colocation_Calc'!T$3:T$74,'03_Colocation_Calc'!$O$3:$O$74,'03_Colocation_Calc'!$G$3:$G$74)</f>
        <v/>
      </c>
      <c r="H3" s="82">
        <f>SUMPRODUCT('03_Colocation_Calc'!T$3:T$74,--('03_Colocation_Calc'!$D$3:$D$74="resident"),'03_Colocation_Calc'!$O$3:$O$74,'03_Colocation_Calc'!$F$3:$F$74)+SUMPRODUCT(MAX('03_Colocation_Calc'!T$3:T$74*--('03_Colocation_Calc'!$D$3:$D$74="ci_seq")*'03_Colocation_Calc'!$O$3:$O$74*'03_Colocation_Calc'!$F$3:$F$74))+SUMPRODUCT(MAX('03_Colocation_Calc'!T$3:T$74*--('03_Colocation_Calc'!$D$3:$D$74="async")*'03_Colocation_Calc'!$O$3:$O$74*'03_Colocation_Calc'!$F$3:$F$74))+SUMPRODUCT(MAX('03_Colocation_Calc'!T$3:T$74*--('03_Colocation_Calc'!$D$3:$D$74="load")*'03_Colocation_Calc'!$O$3:$O$74*'03_Colocation_Calc'!$F$3:$F$74))</f>
        <v/>
      </c>
      <c r="I3" s="82">
        <f>SUMPRODUCT('03_Colocation_Calc'!T$3:T$74,--('03_Colocation_Calc'!$D$3:$D$74="resident"),'03_Colocation_Calc'!$O$3:$O$74,'03_Colocation_Calc'!$G$3:$G$74)+SUMPRODUCT(MAX('03_Colocation_Calc'!T$3:T$74*--('03_Colocation_Calc'!$D$3:$D$74="ci_seq")*'03_Colocation_Calc'!$O$3:$O$74*'03_Colocation_Calc'!$G$3:$G$74))+SUMPRODUCT(MAX('03_Colocation_Calc'!T$3:T$74*--('03_Colocation_Calc'!$D$3:$D$74="async")*'03_Colocation_Calc'!$O$3:$O$74*'03_Colocation_Calc'!$G$3:$G$74))+SUMPRODUCT(MAX('03_Colocation_Calc'!T$3:T$74*--('03_Colocation_Calc'!$D$3:$D$74="load")*'03_Colocation_Calc'!$O$3:$O$74*'03_Colocation_Calc'!$G$3:$G$74))</f>
        <v/>
      </c>
      <c r="J3" s="82">
        <f>SUMPRODUCT('03_Colocation_Calc'!T$3:T$74,'03_Colocation_Calc'!$I$3:$I$74)*0.25</f>
        <v/>
      </c>
      <c r="K3" s="82">
        <f>SUMPRODUCT('03_Colocation_Calc'!T$3:T$74,'03_Colocation_Calc'!$I$3:$I$74,'03_Colocation_Calc'!$H$3:$H$74)</f>
        <v/>
      </c>
      <c r="L3" s="82">
        <f>MAX(D3,IF('05_Params'!$B$3="strict",F3,H3),J3)</f>
        <v/>
      </c>
      <c r="M3" s="82">
        <f>MAX(E3,IF('05_Params'!$B$3="strict",G3,I3),K3)</f>
        <v/>
      </c>
      <c r="N3" s="82">
        <f>L3+'05_Params'!$B$5</f>
        <v/>
      </c>
      <c r="O3" s="82">
        <f>M3+'05_Params'!$B$6</f>
        <v/>
      </c>
      <c r="P3" s="83">
        <f>IFERROR(INDEX('05_Params'!$E$4:$E$23,COUNTIF('05_Params'!$E$4:$E$23,"&lt;"&amp;N3)+1),CEILING(N3,64))</f>
        <v/>
      </c>
      <c r="Q3" s="83">
        <f>IFERROR(INDEX('05_Params'!$F$4:$F$23,COUNTIF('05_Params'!$F$4:$F$23,"&lt;"&amp;O3)+1),CEILING(O3,64))</f>
        <v/>
      </c>
      <c r="R3" s="84">
        <f>SUMPRODUCT('03_Colocation_Calc'!T$3:T$74,'03_Colocation_Calc'!$J$3:$J$74)</f>
        <v/>
      </c>
      <c r="S3" s="84">
        <f>SUMPRODUCT('03_Colocation_Calc'!T$3:T$74,'03_Colocation_Calc'!$R$3:$R$74)</f>
        <v/>
      </c>
      <c r="T3" s="84">
        <f>('05_Params'!$B$7+R3)/(1-'05_Params'!$B$8)</f>
        <v/>
      </c>
      <c r="U3" s="84">
        <f>S3/(1-'05_Params'!$B$8)</f>
        <v/>
      </c>
      <c r="V3" s="83">
        <f>IFERROR(INDEX('05_Params'!$G$4:$G$23,COUNTIF('05_Params'!$G$4:$G$23,"&lt;"&amp;T3)+1),CEILING(T3,64))</f>
        <v/>
      </c>
      <c r="W3" s="83">
        <f>IF(U3&lt;=0,0,IFERROR(INDEX('05_Params'!$G$4:$G$23,COUNTIF('05_Params'!$G$4:$G$23,"&lt;"&amp;U3)+1),CEILING(U3,64)))</f>
        <v/>
      </c>
      <c r="X3" s="85" t="n"/>
      <c r="Y3" s="85" t="n"/>
      <c r="Z3" s="85" t="n"/>
      <c r="AA3" s="85" t="n"/>
      <c r="AB3" s="84">
        <f>IF(X3="","",X3-P3)</f>
        <v/>
      </c>
      <c r="AC3" s="84">
        <f>IF(Y3="","",Y3-Q3)</f>
        <v/>
      </c>
      <c r="AD3" s="84">
        <f>IF(Z3="","",Z3-V3)</f>
        <v/>
      </c>
      <c r="AE3" s="84">
        <f>IF(AA3="","",AA3-W3)</f>
        <v/>
      </c>
      <c r="AF3" s="86">
        <f>IF(X3="","(ยังไม่กรอก spec)",IF(OR(AB3&lt;0,AC3&lt;0),"ไม่พอ: CPU/RAM",IF(OR(AD3&lt;0,AE3&lt;0),"เสี่ยง: Disk ไม่พอ","พอเพียง")))</f>
        <v/>
      </c>
      <c r="AG3" s="81">
        <f>IF(L3=D3,"A Peak-Max",IF(L3=J3,"C Resident","B Weighted"))</f>
        <v/>
      </c>
      <c r="AH3" s="81">
        <f>IF(M3=E3,"A Peak-Max",IF(M3=K3,"C Resident","B Weighted"))</f>
        <v/>
      </c>
    </row>
    <row r="4" ht="32" customHeight="1">
      <c r="A4" s="79" t="inlineStr">
        <is>
          <t>CI-CONTROL-01</t>
        </is>
      </c>
      <c r="B4" s="80" t="inlineStr">
        <is>
          <t>CI Control: Git Repository, Pipeline Orchestration, SAST และ Quality Gate</t>
        </is>
      </c>
      <c r="C4" s="81">
        <f>SUM('03_Colocation_Calc'!U$3:U$74)</f>
        <v/>
      </c>
      <c r="D4" s="82">
        <f>SUMPRODUCT(MAX('03_Colocation_Calc'!U$3:U$74*'03_Colocation_Calc'!$F$3:$F$74))</f>
        <v/>
      </c>
      <c r="E4" s="82">
        <f>SUMPRODUCT(MAX('03_Colocation_Calc'!U$3:U$74*'03_Colocation_Calc'!$G$3:$G$74))</f>
        <v/>
      </c>
      <c r="F4" s="82">
        <f>SUMPRODUCT('03_Colocation_Calc'!U$3:U$74,'03_Colocation_Calc'!$O$3:$O$74,'03_Colocation_Calc'!$F$3:$F$74)</f>
        <v/>
      </c>
      <c r="G4" s="82">
        <f>SUMPRODUCT('03_Colocation_Calc'!U$3:U$74,'03_Colocation_Calc'!$O$3:$O$74,'03_Colocation_Calc'!$G$3:$G$74)</f>
        <v/>
      </c>
      <c r="H4" s="82">
        <f>SUMPRODUCT('03_Colocation_Calc'!U$3:U$74,--('03_Colocation_Calc'!$D$3:$D$74="resident"),'03_Colocation_Calc'!$O$3:$O$74,'03_Colocation_Calc'!$F$3:$F$74)+SUMPRODUCT(MAX('03_Colocation_Calc'!U$3:U$74*--('03_Colocation_Calc'!$D$3:$D$74="ci_seq")*'03_Colocation_Calc'!$O$3:$O$74*'03_Colocation_Calc'!$F$3:$F$74))+SUMPRODUCT(MAX('03_Colocation_Calc'!U$3:U$74*--('03_Colocation_Calc'!$D$3:$D$74="async")*'03_Colocation_Calc'!$O$3:$O$74*'03_Colocation_Calc'!$F$3:$F$74))+SUMPRODUCT(MAX('03_Colocation_Calc'!U$3:U$74*--('03_Colocation_Calc'!$D$3:$D$74="load")*'03_Colocation_Calc'!$O$3:$O$74*'03_Colocation_Calc'!$F$3:$F$74))</f>
        <v/>
      </c>
      <c r="I4" s="82">
        <f>SUMPRODUCT('03_Colocation_Calc'!U$3:U$74,--('03_Colocation_Calc'!$D$3:$D$74="resident"),'03_Colocation_Calc'!$O$3:$O$74,'03_Colocation_Calc'!$G$3:$G$74)+SUMPRODUCT(MAX('03_Colocation_Calc'!U$3:U$74*--('03_Colocation_Calc'!$D$3:$D$74="ci_seq")*'03_Colocation_Calc'!$O$3:$O$74*'03_Colocation_Calc'!$G$3:$G$74))+SUMPRODUCT(MAX('03_Colocation_Calc'!U$3:U$74*--('03_Colocation_Calc'!$D$3:$D$74="async")*'03_Colocation_Calc'!$O$3:$O$74*'03_Colocation_Calc'!$G$3:$G$74))+SUMPRODUCT(MAX('03_Colocation_Calc'!U$3:U$74*--('03_Colocation_Calc'!$D$3:$D$74="load")*'03_Colocation_Calc'!$O$3:$O$74*'03_Colocation_Calc'!$G$3:$G$74))</f>
        <v/>
      </c>
      <c r="J4" s="82">
        <f>SUMPRODUCT('03_Colocation_Calc'!U$3:U$74,'03_Colocation_Calc'!$I$3:$I$74)*0.25</f>
        <v/>
      </c>
      <c r="K4" s="82">
        <f>SUMPRODUCT('03_Colocation_Calc'!U$3:U$74,'03_Colocation_Calc'!$I$3:$I$74,'03_Colocation_Calc'!$H$3:$H$74)</f>
        <v/>
      </c>
      <c r="L4" s="82">
        <f>MAX(D4,IF('05_Params'!$B$3="strict",F4,H4),J4)</f>
        <v/>
      </c>
      <c r="M4" s="82">
        <f>MAX(E4,IF('05_Params'!$B$3="strict",G4,I4),K4)</f>
        <v/>
      </c>
      <c r="N4" s="82">
        <f>L4+'05_Params'!$B$5</f>
        <v/>
      </c>
      <c r="O4" s="82">
        <f>M4+'05_Params'!$B$6</f>
        <v/>
      </c>
      <c r="P4" s="83">
        <f>IFERROR(INDEX('05_Params'!$E$4:$E$23,COUNTIF('05_Params'!$E$4:$E$23,"&lt;"&amp;N4)+1),CEILING(N4,64))</f>
        <v/>
      </c>
      <c r="Q4" s="83">
        <f>IFERROR(INDEX('05_Params'!$F$4:$F$23,COUNTIF('05_Params'!$F$4:$F$23,"&lt;"&amp;O4)+1),CEILING(O4,64))</f>
        <v/>
      </c>
      <c r="R4" s="84">
        <f>SUMPRODUCT('03_Colocation_Calc'!U$3:U$74,'03_Colocation_Calc'!$J$3:$J$74)</f>
        <v/>
      </c>
      <c r="S4" s="84">
        <f>SUMPRODUCT('03_Colocation_Calc'!U$3:U$74,'03_Colocation_Calc'!$R$3:$R$74)</f>
        <v/>
      </c>
      <c r="T4" s="84">
        <f>('05_Params'!$B$7+R4)/(1-'05_Params'!$B$8)</f>
        <v/>
      </c>
      <c r="U4" s="84">
        <f>S4/(1-'05_Params'!$B$8)</f>
        <v/>
      </c>
      <c r="V4" s="83">
        <f>IFERROR(INDEX('05_Params'!$G$4:$G$23,COUNTIF('05_Params'!$G$4:$G$23,"&lt;"&amp;T4)+1),CEILING(T4,64))</f>
        <v/>
      </c>
      <c r="W4" s="83">
        <f>IF(U4&lt;=0,0,IFERROR(INDEX('05_Params'!$G$4:$G$23,COUNTIF('05_Params'!$G$4:$G$23,"&lt;"&amp;U4)+1),CEILING(U4,64)))</f>
        <v/>
      </c>
      <c r="X4" s="85" t="n"/>
      <c r="Y4" s="85" t="n"/>
      <c r="Z4" s="85" t="n"/>
      <c r="AA4" s="85" t="n"/>
      <c r="AB4" s="84">
        <f>IF(X4="","",X4-P4)</f>
        <v/>
      </c>
      <c r="AC4" s="84">
        <f>IF(Y4="","",Y4-Q4)</f>
        <v/>
      </c>
      <c r="AD4" s="84">
        <f>IF(Z4="","",Z4-V4)</f>
        <v/>
      </c>
      <c r="AE4" s="84">
        <f>IF(AA4="","",AA4-W4)</f>
        <v/>
      </c>
      <c r="AF4" s="86">
        <f>IF(X4="","(ยังไม่กรอก spec)",IF(OR(AB4&lt;0,AC4&lt;0),"ไม่พอ: CPU/RAM",IF(OR(AD4&lt;0,AE4&lt;0),"เสี่ยง: Disk ไม่พอ","พอเพียง")))</f>
        <v/>
      </c>
      <c r="AG4" s="81">
        <f>IF(L4=D4,"A Peak-Max",IF(L4=J4,"C Resident","B Weighted"))</f>
        <v/>
      </c>
      <c r="AH4" s="81">
        <f>IF(M4=E4,"A Peak-Max",IF(M4=K4,"C Resident","B Weighted"))</f>
        <v/>
      </c>
    </row>
    <row r="5" ht="32" customHeight="1">
      <c r="A5" s="79" t="inlineStr">
        <is>
          <t>BUILD-AGENT-01</t>
        </is>
      </c>
      <c r="B5" s="80" t="inlineStr">
        <is>
          <t>Build Agent: Compile, Container Build, Unit/Integration Test และสแกนใน Pipeline</t>
        </is>
      </c>
      <c r="C5" s="81">
        <f>SUM('03_Colocation_Calc'!V$3:V$74)</f>
        <v/>
      </c>
      <c r="D5" s="82">
        <f>SUMPRODUCT(MAX('03_Colocation_Calc'!V$3:V$74*'03_Colocation_Calc'!$F$3:$F$74))</f>
        <v/>
      </c>
      <c r="E5" s="82">
        <f>SUMPRODUCT(MAX('03_Colocation_Calc'!V$3:V$74*'03_Colocation_Calc'!$G$3:$G$74))</f>
        <v/>
      </c>
      <c r="F5" s="82">
        <f>SUMPRODUCT('03_Colocation_Calc'!V$3:V$74,'03_Colocation_Calc'!$O$3:$O$74,'03_Colocation_Calc'!$F$3:$F$74)</f>
        <v/>
      </c>
      <c r="G5" s="82">
        <f>SUMPRODUCT('03_Colocation_Calc'!V$3:V$74,'03_Colocation_Calc'!$O$3:$O$74,'03_Colocation_Calc'!$G$3:$G$74)</f>
        <v/>
      </c>
      <c r="H5" s="82">
        <f>SUMPRODUCT('03_Colocation_Calc'!V$3:V$74,--('03_Colocation_Calc'!$D$3:$D$74="resident"),'03_Colocation_Calc'!$O$3:$O$74,'03_Colocation_Calc'!$F$3:$F$74)+SUMPRODUCT(MAX('03_Colocation_Calc'!V$3:V$74*--('03_Colocation_Calc'!$D$3:$D$74="ci_seq")*'03_Colocation_Calc'!$O$3:$O$74*'03_Colocation_Calc'!$F$3:$F$74))+SUMPRODUCT(MAX('03_Colocation_Calc'!V$3:V$74*--('03_Colocation_Calc'!$D$3:$D$74="async")*'03_Colocation_Calc'!$O$3:$O$74*'03_Colocation_Calc'!$F$3:$F$74))+SUMPRODUCT(MAX('03_Colocation_Calc'!V$3:V$74*--('03_Colocation_Calc'!$D$3:$D$74="load")*'03_Colocation_Calc'!$O$3:$O$74*'03_Colocation_Calc'!$F$3:$F$74))</f>
        <v/>
      </c>
      <c r="I5" s="82">
        <f>SUMPRODUCT('03_Colocation_Calc'!V$3:V$74,--('03_Colocation_Calc'!$D$3:$D$74="resident"),'03_Colocation_Calc'!$O$3:$O$74,'03_Colocation_Calc'!$G$3:$G$74)+SUMPRODUCT(MAX('03_Colocation_Calc'!V$3:V$74*--('03_Colocation_Calc'!$D$3:$D$74="ci_seq")*'03_Colocation_Calc'!$O$3:$O$74*'03_Colocation_Calc'!$G$3:$G$74))+SUMPRODUCT(MAX('03_Colocation_Calc'!V$3:V$74*--('03_Colocation_Calc'!$D$3:$D$74="async")*'03_Colocation_Calc'!$O$3:$O$74*'03_Colocation_Calc'!$G$3:$G$74))+SUMPRODUCT(MAX('03_Colocation_Calc'!V$3:V$74*--('03_Colocation_Calc'!$D$3:$D$74="load")*'03_Colocation_Calc'!$O$3:$O$74*'03_Colocation_Calc'!$G$3:$G$74))</f>
        <v/>
      </c>
      <c r="J5" s="82">
        <f>SUMPRODUCT('03_Colocation_Calc'!V$3:V$74,'03_Colocation_Calc'!$I$3:$I$74)*0.25</f>
        <v/>
      </c>
      <c r="K5" s="82">
        <f>SUMPRODUCT('03_Colocation_Calc'!V$3:V$74,'03_Colocation_Calc'!$I$3:$I$74,'03_Colocation_Calc'!$H$3:$H$74)</f>
        <v/>
      </c>
      <c r="L5" s="82">
        <f>MAX(D5,IF('05_Params'!$B$3="strict",F5,H5),J5)</f>
        <v/>
      </c>
      <c r="M5" s="82">
        <f>MAX(E5,IF('05_Params'!$B$3="strict",G5,I5),K5)</f>
        <v/>
      </c>
      <c r="N5" s="82">
        <f>L5+'05_Params'!$B$5</f>
        <v/>
      </c>
      <c r="O5" s="82">
        <f>M5+'05_Params'!$B$6</f>
        <v/>
      </c>
      <c r="P5" s="83">
        <f>IFERROR(INDEX('05_Params'!$E$4:$E$23,COUNTIF('05_Params'!$E$4:$E$23,"&lt;"&amp;N5)+1),CEILING(N5,64))</f>
        <v/>
      </c>
      <c r="Q5" s="83">
        <f>IFERROR(INDEX('05_Params'!$F$4:$F$23,COUNTIF('05_Params'!$F$4:$F$23,"&lt;"&amp;O5)+1),CEILING(O5,64))</f>
        <v/>
      </c>
      <c r="R5" s="84">
        <f>SUMPRODUCT('03_Colocation_Calc'!V$3:V$74,'03_Colocation_Calc'!$J$3:$J$74)</f>
        <v/>
      </c>
      <c r="S5" s="84">
        <f>SUMPRODUCT('03_Colocation_Calc'!V$3:V$74,'03_Colocation_Calc'!$R$3:$R$74)</f>
        <v/>
      </c>
      <c r="T5" s="84">
        <f>('05_Params'!$B$7+R5)/(1-'05_Params'!$B$8)</f>
        <v/>
      </c>
      <c r="U5" s="84">
        <f>S5/(1-'05_Params'!$B$8)</f>
        <v/>
      </c>
      <c r="V5" s="83">
        <f>IFERROR(INDEX('05_Params'!$G$4:$G$23,COUNTIF('05_Params'!$G$4:$G$23,"&lt;"&amp;T5)+1),CEILING(T5,64))</f>
        <v/>
      </c>
      <c r="W5" s="83">
        <f>IF(U5&lt;=0,0,IFERROR(INDEX('05_Params'!$G$4:$G$23,COUNTIF('05_Params'!$G$4:$G$23,"&lt;"&amp;U5)+1),CEILING(U5,64)))</f>
        <v/>
      </c>
      <c r="X5" s="85" t="n"/>
      <c r="Y5" s="85" t="n"/>
      <c r="Z5" s="85" t="n"/>
      <c r="AA5" s="85" t="n"/>
      <c r="AB5" s="84">
        <f>IF(X5="","",X5-P5)</f>
        <v/>
      </c>
      <c r="AC5" s="84">
        <f>IF(Y5="","",Y5-Q5)</f>
        <v/>
      </c>
      <c r="AD5" s="84">
        <f>IF(Z5="","",Z5-V5)</f>
        <v/>
      </c>
      <c r="AE5" s="84">
        <f>IF(AA5="","",AA5-W5)</f>
        <v/>
      </c>
      <c r="AF5" s="86">
        <f>IF(X5="","(ยังไม่กรอก spec)",IF(OR(AB5&lt;0,AC5&lt;0),"ไม่พอ: CPU/RAM",IF(OR(AD5&lt;0,AE5&lt;0),"เสี่ยง: Disk ไม่พอ","พอเพียง")))</f>
        <v/>
      </c>
      <c r="AG5" s="81">
        <f>IF(L5=D5,"A Peak-Max",IF(L5=J5,"C Resident","B Weighted"))</f>
        <v/>
      </c>
      <c r="AH5" s="81">
        <f>IF(M5=E5,"A Peak-Max",IF(M5=K5,"C Resident","B Weighted"))</f>
        <v/>
      </c>
    </row>
    <row r="6" ht="32" customHeight="1">
      <c r="A6" s="79" t="inlineStr">
        <is>
          <t>SEC-TEST-01</t>
        </is>
      </c>
      <c r="B6" s="80" t="inlineStr">
        <is>
          <t>Security &amp; Performance Test: DAST, API Security, Accessibility, TLS, Load Test</t>
        </is>
      </c>
      <c r="C6" s="81">
        <f>SUM('03_Colocation_Calc'!W$3:W$74)</f>
        <v/>
      </c>
      <c r="D6" s="82">
        <f>SUMPRODUCT(MAX('03_Colocation_Calc'!W$3:W$74*'03_Colocation_Calc'!$F$3:$F$74))</f>
        <v/>
      </c>
      <c r="E6" s="82">
        <f>SUMPRODUCT(MAX('03_Colocation_Calc'!W$3:W$74*'03_Colocation_Calc'!$G$3:$G$74))</f>
        <v/>
      </c>
      <c r="F6" s="82">
        <f>SUMPRODUCT('03_Colocation_Calc'!W$3:W$74,'03_Colocation_Calc'!$O$3:$O$74,'03_Colocation_Calc'!$F$3:$F$74)</f>
        <v/>
      </c>
      <c r="G6" s="82">
        <f>SUMPRODUCT('03_Colocation_Calc'!W$3:W$74,'03_Colocation_Calc'!$O$3:$O$74,'03_Colocation_Calc'!$G$3:$G$74)</f>
        <v/>
      </c>
      <c r="H6" s="82">
        <f>SUMPRODUCT('03_Colocation_Calc'!W$3:W$74,--('03_Colocation_Calc'!$D$3:$D$74="resident"),'03_Colocation_Calc'!$O$3:$O$74,'03_Colocation_Calc'!$F$3:$F$74)+SUMPRODUCT(MAX('03_Colocation_Calc'!W$3:W$74*--('03_Colocation_Calc'!$D$3:$D$74="ci_seq")*'03_Colocation_Calc'!$O$3:$O$74*'03_Colocation_Calc'!$F$3:$F$74))+SUMPRODUCT(MAX('03_Colocation_Calc'!W$3:W$74*--('03_Colocation_Calc'!$D$3:$D$74="async")*'03_Colocation_Calc'!$O$3:$O$74*'03_Colocation_Calc'!$F$3:$F$74))+SUMPRODUCT(MAX('03_Colocation_Calc'!W$3:W$74*--('03_Colocation_Calc'!$D$3:$D$74="load")*'03_Colocation_Calc'!$O$3:$O$74*'03_Colocation_Calc'!$F$3:$F$74))</f>
        <v/>
      </c>
      <c r="I6" s="82">
        <f>SUMPRODUCT('03_Colocation_Calc'!W$3:W$74,--('03_Colocation_Calc'!$D$3:$D$74="resident"),'03_Colocation_Calc'!$O$3:$O$74,'03_Colocation_Calc'!$G$3:$G$74)+SUMPRODUCT(MAX('03_Colocation_Calc'!W$3:W$74*--('03_Colocation_Calc'!$D$3:$D$74="ci_seq")*'03_Colocation_Calc'!$O$3:$O$74*'03_Colocation_Calc'!$G$3:$G$74))+SUMPRODUCT(MAX('03_Colocation_Calc'!W$3:W$74*--('03_Colocation_Calc'!$D$3:$D$74="async")*'03_Colocation_Calc'!$O$3:$O$74*'03_Colocation_Calc'!$G$3:$G$74))+SUMPRODUCT(MAX('03_Colocation_Calc'!W$3:W$74*--('03_Colocation_Calc'!$D$3:$D$74="load")*'03_Colocation_Calc'!$O$3:$O$74*'03_Colocation_Calc'!$G$3:$G$74))</f>
        <v/>
      </c>
      <c r="J6" s="82">
        <f>SUMPRODUCT('03_Colocation_Calc'!W$3:W$74,'03_Colocation_Calc'!$I$3:$I$74)*0.25</f>
        <v/>
      </c>
      <c r="K6" s="82">
        <f>SUMPRODUCT('03_Colocation_Calc'!W$3:W$74,'03_Colocation_Calc'!$I$3:$I$74,'03_Colocation_Calc'!$H$3:$H$74)</f>
        <v/>
      </c>
      <c r="L6" s="82">
        <f>MAX(D6,IF('05_Params'!$B$3="strict",F6,H6),J6)</f>
        <v/>
      </c>
      <c r="M6" s="82">
        <f>MAX(E6,IF('05_Params'!$B$3="strict",G6,I6),K6)</f>
        <v/>
      </c>
      <c r="N6" s="82">
        <f>L6+'05_Params'!$B$5</f>
        <v/>
      </c>
      <c r="O6" s="82">
        <f>M6+'05_Params'!$B$6</f>
        <v/>
      </c>
      <c r="P6" s="83">
        <f>IFERROR(INDEX('05_Params'!$E$4:$E$23,COUNTIF('05_Params'!$E$4:$E$23,"&lt;"&amp;N6)+1),CEILING(N6,64))</f>
        <v/>
      </c>
      <c r="Q6" s="83">
        <f>IFERROR(INDEX('05_Params'!$F$4:$F$23,COUNTIF('05_Params'!$F$4:$F$23,"&lt;"&amp;O6)+1),CEILING(O6,64))</f>
        <v/>
      </c>
      <c r="R6" s="84">
        <f>SUMPRODUCT('03_Colocation_Calc'!W$3:W$74,'03_Colocation_Calc'!$J$3:$J$74)</f>
        <v/>
      </c>
      <c r="S6" s="84">
        <f>SUMPRODUCT('03_Colocation_Calc'!W$3:W$74,'03_Colocation_Calc'!$R$3:$R$74)</f>
        <v/>
      </c>
      <c r="T6" s="84">
        <f>('05_Params'!$B$7+R6)/(1-'05_Params'!$B$8)</f>
        <v/>
      </c>
      <c r="U6" s="84">
        <f>S6/(1-'05_Params'!$B$8)</f>
        <v/>
      </c>
      <c r="V6" s="83">
        <f>IFERROR(INDEX('05_Params'!$G$4:$G$23,COUNTIF('05_Params'!$G$4:$G$23,"&lt;"&amp;T6)+1),CEILING(T6,64))</f>
        <v/>
      </c>
      <c r="W6" s="83">
        <f>IF(U6&lt;=0,0,IFERROR(INDEX('05_Params'!$G$4:$G$23,COUNTIF('05_Params'!$G$4:$G$23,"&lt;"&amp;U6)+1),CEILING(U6,64)))</f>
        <v/>
      </c>
      <c r="X6" s="85" t="n"/>
      <c r="Y6" s="85" t="n"/>
      <c r="Z6" s="85" t="n"/>
      <c r="AA6" s="85" t="n"/>
      <c r="AB6" s="84">
        <f>IF(X6="","",X6-P6)</f>
        <v/>
      </c>
      <c r="AC6" s="84">
        <f>IF(Y6="","",Y6-Q6)</f>
        <v/>
      </c>
      <c r="AD6" s="84">
        <f>IF(Z6="","",Z6-V6)</f>
        <v/>
      </c>
      <c r="AE6" s="84">
        <f>IF(AA6="","",AA6-W6)</f>
        <v/>
      </c>
      <c r="AF6" s="86">
        <f>IF(X6="","(ยังไม่กรอก spec)",IF(OR(AB6&lt;0,AC6&lt;0),"ไม่พอ: CPU/RAM",IF(OR(AD6&lt;0,AE6&lt;0),"เสี่ยง: Disk ไม่พอ","พอเพียง")))</f>
        <v/>
      </c>
      <c r="AG6" s="81">
        <f>IF(L6=D6,"A Peak-Max",IF(L6=J6,"C Resident","B Weighted"))</f>
        <v/>
      </c>
      <c r="AH6" s="81">
        <f>IF(M6=E6,"A Peak-Max",IF(M6=K6,"C Resident","B Weighted"))</f>
        <v/>
      </c>
    </row>
    <row r="7" ht="32" customHeight="1">
      <c r="A7" s="79" t="inlineStr">
        <is>
          <t>STORE-LOG-01</t>
        </is>
      </c>
      <c r="B7" s="80" t="inlineStr">
        <is>
          <t>Store &amp; Log: Container Registry, Object Storage, Secret Management, Log และ Audit Trail</t>
        </is>
      </c>
      <c r="C7" s="81">
        <f>SUM('03_Colocation_Calc'!X$3:X$74)</f>
        <v/>
      </c>
      <c r="D7" s="82">
        <f>SUMPRODUCT(MAX('03_Colocation_Calc'!X$3:X$74*'03_Colocation_Calc'!$F$3:$F$74))</f>
        <v/>
      </c>
      <c r="E7" s="82">
        <f>SUMPRODUCT(MAX('03_Colocation_Calc'!X$3:X$74*'03_Colocation_Calc'!$G$3:$G$74))</f>
        <v/>
      </c>
      <c r="F7" s="82">
        <f>SUMPRODUCT('03_Colocation_Calc'!X$3:X$74,'03_Colocation_Calc'!$O$3:$O$74,'03_Colocation_Calc'!$F$3:$F$74)</f>
        <v/>
      </c>
      <c r="G7" s="82">
        <f>SUMPRODUCT('03_Colocation_Calc'!X$3:X$74,'03_Colocation_Calc'!$O$3:$O$74,'03_Colocation_Calc'!$G$3:$G$74)</f>
        <v/>
      </c>
      <c r="H7" s="82">
        <f>SUMPRODUCT('03_Colocation_Calc'!X$3:X$74,--('03_Colocation_Calc'!$D$3:$D$74="resident"),'03_Colocation_Calc'!$O$3:$O$74,'03_Colocation_Calc'!$F$3:$F$74)+SUMPRODUCT(MAX('03_Colocation_Calc'!X$3:X$74*--('03_Colocation_Calc'!$D$3:$D$74="ci_seq")*'03_Colocation_Calc'!$O$3:$O$74*'03_Colocation_Calc'!$F$3:$F$74))+SUMPRODUCT(MAX('03_Colocation_Calc'!X$3:X$74*--('03_Colocation_Calc'!$D$3:$D$74="async")*'03_Colocation_Calc'!$O$3:$O$74*'03_Colocation_Calc'!$F$3:$F$74))+SUMPRODUCT(MAX('03_Colocation_Calc'!X$3:X$74*--('03_Colocation_Calc'!$D$3:$D$74="load")*'03_Colocation_Calc'!$O$3:$O$74*'03_Colocation_Calc'!$F$3:$F$74))</f>
        <v/>
      </c>
      <c r="I7" s="82">
        <f>SUMPRODUCT('03_Colocation_Calc'!X$3:X$74,--('03_Colocation_Calc'!$D$3:$D$74="resident"),'03_Colocation_Calc'!$O$3:$O$74,'03_Colocation_Calc'!$G$3:$G$74)+SUMPRODUCT(MAX('03_Colocation_Calc'!X$3:X$74*--('03_Colocation_Calc'!$D$3:$D$74="ci_seq")*'03_Colocation_Calc'!$O$3:$O$74*'03_Colocation_Calc'!$G$3:$G$74))+SUMPRODUCT(MAX('03_Colocation_Calc'!X$3:X$74*--('03_Colocation_Calc'!$D$3:$D$74="async")*'03_Colocation_Calc'!$O$3:$O$74*'03_Colocation_Calc'!$G$3:$G$74))+SUMPRODUCT(MAX('03_Colocation_Calc'!X$3:X$74*--('03_Colocation_Calc'!$D$3:$D$74="load")*'03_Colocation_Calc'!$O$3:$O$74*'03_Colocation_Calc'!$G$3:$G$74))</f>
        <v/>
      </c>
      <c r="J7" s="82">
        <f>SUMPRODUCT('03_Colocation_Calc'!X$3:X$74,'03_Colocation_Calc'!$I$3:$I$74)*0.25</f>
        <v/>
      </c>
      <c r="K7" s="82">
        <f>SUMPRODUCT('03_Colocation_Calc'!X$3:X$74,'03_Colocation_Calc'!$I$3:$I$74,'03_Colocation_Calc'!$H$3:$H$74)</f>
        <v/>
      </c>
      <c r="L7" s="82">
        <f>MAX(D7,IF('05_Params'!$B$3="strict",F7,H7),J7)</f>
        <v/>
      </c>
      <c r="M7" s="82">
        <f>MAX(E7,IF('05_Params'!$B$3="strict",G7,I7),K7)</f>
        <v/>
      </c>
      <c r="N7" s="82">
        <f>L7+'05_Params'!$B$5</f>
        <v/>
      </c>
      <c r="O7" s="82">
        <f>M7+'05_Params'!$B$6</f>
        <v/>
      </c>
      <c r="P7" s="83">
        <f>IFERROR(INDEX('05_Params'!$E$4:$E$23,COUNTIF('05_Params'!$E$4:$E$23,"&lt;"&amp;N7)+1),CEILING(N7,64))</f>
        <v/>
      </c>
      <c r="Q7" s="83">
        <f>IFERROR(INDEX('05_Params'!$F$4:$F$23,COUNTIF('05_Params'!$F$4:$F$23,"&lt;"&amp;O7)+1),CEILING(O7,64))</f>
        <v/>
      </c>
      <c r="R7" s="84">
        <f>SUMPRODUCT('03_Colocation_Calc'!X$3:X$74,'03_Colocation_Calc'!$J$3:$J$74)</f>
        <v/>
      </c>
      <c r="S7" s="84">
        <f>SUMPRODUCT('03_Colocation_Calc'!X$3:X$74,'03_Colocation_Calc'!$R$3:$R$74)</f>
        <v/>
      </c>
      <c r="T7" s="84">
        <f>('05_Params'!$B$7+R7)/(1-'05_Params'!$B$8)</f>
        <v/>
      </c>
      <c r="U7" s="84">
        <f>S7/(1-'05_Params'!$B$8)</f>
        <v/>
      </c>
      <c r="V7" s="83">
        <f>IFERROR(INDEX('05_Params'!$G$4:$G$23,COUNTIF('05_Params'!$G$4:$G$23,"&lt;"&amp;T7)+1),CEILING(T7,64))</f>
        <v/>
      </c>
      <c r="W7" s="83">
        <f>IF(U7&lt;=0,0,IFERROR(INDEX('05_Params'!$G$4:$G$23,COUNTIF('05_Params'!$G$4:$G$23,"&lt;"&amp;U7)+1),CEILING(U7,64)))</f>
        <v/>
      </c>
      <c r="X7" s="85" t="n"/>
      <c r="Y7" s="85" t="n"/>
      <c r="Z7" s="85" t="n"/>
      <c r="AA7" s="85" t="n"/>
      <c r="AB7" s="84">
        <f>IF(X7="","",X7-P7)</f>
        <v/>
      </c>
      <c r="AC7" s="84">
        <f>IF(Y7="","",Y7-Q7)</f>
        <v/>
      </c>
      <c r="AD7" s="84">
        <f>IF(Z7="","",Z7-V7)</f>
        <v/>
      </c>
      <c r="AE7" s="84">
        <f>IF(AA7="","",AA7-W7)</f>
        <v/>
      </c>
      <c r="AF7" s="86">
        <f>IF(X7="","(ยังไม่กรอก spec)",IF(OR(AB7&lt;0,AC7&lt;0),"ไม่พอ: CPU/RAM",IF(OR(AD7&lt;0,AE7&lt;0),"เสี่ยง: Disk ไม่พอ","พอเพียง")))</f>
        <v/>
      </c>
      <c r="AG7" s="81">
        <f>IF(L7=D7,"A Peak-Max",IF(L7=J7,"C Resident","B Weighted"))</f>
        <v/>
      </c>
      <c r="AH7" s="81">
        <f>IF(M7=E7,"A Peak-Max",IF(M7=K7,"C Resident","B Weighted"))</f>
        <v/>
      </c>
    </row>
    <row r="8" ht="32" customHeight="1">
      <c r="A8" s="79" t="inlineStr">
        <is>
          <t>DEPLOY-MON-01</t>
        </is>
      </c>
      <c r="B8" s="80" t="inlineStr">
        <is>
          <t>Deploy &amp; Monitor: Orchestration, GitOps, Runtime Security, Observability, Backup</t>
        </is>
      </c>
      <c r="C8" s="81">
        <f>SUM('03_Colocation_Calc'!Y$3:Y$74)</f>
        <v/>
      </c>
      <c r="D8" s="82">
        <f>SUMPRODUCT(MAX('03_Colocation_Calc'!Y$3:Y$74*'03_Colocation_Calc'!$F$3:$F$74))</f>
        <v/>
      </c>
      <c r="E8" s="82">
        <f>SUMPRODUCT(MAX('03_Colocation_Calc'!Y$3:Y$74*'03_Colocation_Calc'!$G$3:$G$74))</f>
        <v/>
      </c>
      <c r="F8" s="82">
        <f>SUMPRODUCT('03_Colocation_Calc'!Y$3:Y$74,'03_Colocation_Calc'!$O$3:$O$74,'03_Colocation_Calc'!$F$3:$F$74)</f>
        <v/>
      </c>
      <c r="G8" s="82">
        <f>SUMPRODUCT('03_Colocation_Calc'!Y$3:Y$74,'03_Colocation_Calc'!$O$3:$O$74,'03_Colocation_Calc'!$G$3:$G$74)</f>
        <v/>
      </c>
      <c r="H8" s="82">
        <f>SUMPRODUCT('03_Colocation_Calc'!Y$3:Y$74,--('03_Colocation_Calc'!$D$3:$D$74="resident"),'03_Colocation_Calc'!$O$3:$O$74,'03_Colocation_Calc'!$F$3:$F$74)+SUMPRODUCT(MAX('03_Colocation_Calc'!Y$3:Y$74*--('03_Colocation_Calc'!$D$3:$D$74="ci_seq")*'03_Colocation_Calc'!$O$3:$O$74*'03_Colocation_Calc'!$F$3:$F$74))+SUMPRODUCT(MAX('03_Colocation_Calc'!Y$3:Y$74*--('03_Colocation_Calc'!$D$3:$D$74="async")*'03_Colocation_Calc'!$O$3:$O$74*'03_Colocation_Calc'!$F$3:$F$74))+SUMPRODUCT(MAX('03_Colocation_Calc'!Y$3:Y$74*--('03_Colocation_Calc'!$D$3:$D$74="load")*'03_Colocation_Calc'!$O$3:$O$74*'03_Colocation_Calc'!$F$3:$F$74))</f>
        <v/>
      </c>
      <c r="I8" s="82">
        <f>SUMPRODUCT('03_Colocation_Calc'!Y$3:Y$74,--('03_Colocation_Calc'!$D$3:$D$74="resident"),'03_Colocation_Calc'!$O$3:$O$74,'03_Colocation_Calc'!$G$3:$G$74)+SUMPRODUCT(MAX('03_Colocation_Calc'!Y$3:Y$74*--('03_Colocation_Calc'!$D$3:$D$74="ci_seq")*'03_Colocation_Calc'!$O$3:$O$74*'03_Colocation_Calc'!$G$3:$G$74))+SUMPRODUCT(MAX('03_Colocation_Calc'!Y$3:Y$74*--('03_Colocation_Calc'!$D$3:$D$74="async")*'03_Colocation_Calc'!$O$3:$O$74*'03_Colocation_Calc'!$G$3:$G$74))+SUMPRODUCT(MAX('03_Colocation_Calc'!Y$3:Y$74*--('03_Colocation_Calc'!$D$3:$D$74="load")*'03_Colocation_Calc'!$O$3:$O$74*'03_Colocation_Calc'!$G$3:$G$74))</f>
        <v/>
      </c>
      <c r="J8" s="82">
        <f>SUMPRODUCT('03_Colocation_Calc'!Y$3:Y$74,'03_Colocation_Calc'!$I$3:$I$74)*0.25</f>
        <v/>
      </c>
      <c r="K8" s="82">
        <f>SUMPRODUCT('03_Colocation_Calc'!Y$3:Y$74,'03_Colocation_Calc'!$I$3:$I$74,'03_Colocation_Calc'!$H$3:$H$74)</f>
        <v/>
      </c>
      <c r="L8" s="82">
        <f>MAX(D8,IF('05_Params'!$B$3="strict",F8,H8),J8)</f>
        <v/>
      </c>
      <c r="M8" s="82">
        <f>MAX(E8,IF('05_Params'!$B$3="strict",G8,I8),K8)</f>
        <v/>
      </c>
      <c r="N8" s="82">
        <f>L8+'05_Params'!$B$5</f>
        <v/>
      </c>
      <c r="O8" s="82">
        <f>M8+'05_Params'!$B$6</f>
        <v/>
      </c>
      <c r="P8" s="83">
        <f>IFERROR(INDEX('05_Params'!$E$4:$E$23,COUNTIF('05_Params'!$E$4:$E$23,"&lt;"&amp;N8)+1),CEILING(N8,64))</f>
        <v/>
      </c>
      <c r="Q8" s="83">
        <f>IFERROR(INDEX('05_Params'!$F$4:$F$23,COUNTIF('05_Params'!$F$4:$F$23,"&lt;"&amp;O8)+1),CEILING(O8,64))</f>
        <v/>
      </c>
      <c r="R8" s="84">
        <f>SUMPRODUCT('03_Colocation_Calc'!Y$3:Y$74,'03_Colocation_Calc'!$J$3:$J$74)</f>
        <v/>
      </c>
      <c r="S8" s="84">
        <f>SUMPRODUCT('03_Colocation_Calc'!Y$3:Y$74,'03_Colocation_Calc'!$R$3:$R$74)</f>
        <v/>
      </c>
      <c r="T8" s="84">
        <f>('05_Params'!$B$7+R8)/(1-'05_Params'!$B$8)</f>
        <v/>
      </c>
      <c r="U8" s="84">
        <f>S8/(1-'05_Params'!$B$8)</f>
        <v/>
      </c>
      <c r="V8" s="83">
        <f>IFERROR(INDEX('05_Params'!$G$4:$G$23,COUNTIF('05_Params'!$G$4:$G$23,"&lt;"&amp;T8)+1),CEILING(T8,64))</f>
        <v/>
      </c>
      <c r="W8" s="83">
        <f>IF(U8&lt;=0,0,IFERROR(INDEX('05_Params'!$G$4:$G$23,COUNTIF('05_Params'!$G$4:$G$23,"&lt;"&amp;U8)+1),CEILING(U8,64)))</f>
        <v/>
      </c>
      <c r="X8" s="85" t="n"/>
      <c r="Y8" s="85" t="n"/>
      <c r="Z8" s="85" t="n"/>
      <c r="AA8" s="85" t="n"/>
      <c r="AB8" s="84">
        <f>IF(X8="","",X8-P8)</f>
        <v/>
      </c>
      <c r="AC8" s="84">
        <f>IF(Y8="","",Y8-Q8)</f>
        <v/>
      </c>
      <c r="AD8" s="84">
        <f>IF(Z8="","",Z8-V8)</f>
        <v/>
      </c>
      <c r="AE8" s="84">
        <f>IF(AA8="","",AA8-W8)</f>
        <v/>
      </c>
      <c r="AF8" s="86">
        <f>IF(X8="","(ยังไม่กรอก spec)",IF(OR(AB8&lt;0,AC8&lt;0),"ไม่พอ: CPU/RAM",IF(OR(AD8&lt;0,AE8&lt;0),"เสี่ยง: Disk ไม่พอ","พอเพียง")))</f>
        <v/>
      </c>
      <c r="AG8" s="81">
        <f>IF(L8=D8,"A Peak-Max",IF(L8=J8,"C Resident","B Weighted"))</f>
        <v/>
      </c>
      <c r="AH8" s="81">
        <f>IF(M8=E8,"A Peak-Max",IF(M8=K8,"C Resident","B Weighted"))</f>
        <v/>
      </c>
    </row>
    <row r="9" ht="32" customHeight="1">
      <c r="A9" s="79" t="inlineStr">
        <is>
          <t>VM07</t>
        </is>
      </c>
      <c r="B9" s="80" t="inlineStr">
        <is>
          <t>(กรอกบทบาทหน้าที่)</t>
        </is>
      </c>
      <c r="C9" s="81">
        <f>SUM('03_Colocation_Calc'!Z$3:Z$74)</f>
        <v/>
      </c>
      <c r="D9" s="82">
        <f>SUMPRODUCT(MAX('03_Colocation_Calc'!Z$3:Z$74*'03_Colocation_Calc'!$F$3:$F$74))</f>
        <v/>
      </c>
      <c r="E9" s="82">
        <f>SUMPRODUCT(MAX('03_Colocation_Calc'!Z$3:Z$74*'03_Colocation_Calc'!$G$3:$G$74))</f>
        <v/>
      </c>
      <c r="F9" s="82">
        <f>SUMPRODUCT('03_Colocation_Calc'!Z$3:Z$74,'03_Colocation_Calc'!$O$3:$O$74,'03_Colocation_Calc'!$F$3:$F$74)</f>
        <v/>
      </c>
      <c r="G9" s="82">
        <f>SUMPRODUCT('03_Colocation_Calc'!Z$3:Z$74,'03_Colocation_Calc'!$O$3:$O$74,'03_Colocation_Calc'!$G$3:$G$74)</f>
        <v/>
      </c>
      <c r="H9" s="82">
        <f>SUMPRODUCT('03_Colocation_Calc'!Z$3:Z$74,--('03_Colocation_Calc'!$D$3:$D$74="resident"),'03_Colocation_Calc'!$O$3:$O$74,'03_Colocation_Calc'!$F$3:$F$74)+SUMPRODUCT(MAX('03_Colocation_Calc'!Z$3:Z$74*--('03_Colocation_Calc'!$D$3:$D$74="ci_seq")*'03_Colocation_Calc'!$O$3:$O$74*'03_Colocation_Calc'!$F$3:$F$74))+SUMPRODUCT(MAX('03_Colocation_Calc'!Z$3:Z$74*--('03_Colocation_Calc'!$D$3:$D$74="async")*'03_Colocation_Calc'!$O$3:$O$74*'03_Colocation_Calc'!$F$3:$F$74))+SUMPRODUCT(MAX('03_Colocation_Calc'!Z$3:Z$74*--('03_Colocation_Calc'!$D$3:$D$74="load")*'03_Colocation_Calc'!$O$3:$O$74*'03_Colocation_Calc'!$F$3:$F$74))</f>
        <v/>
      </c>
      <c r="I9" s="82">
        <f>SUMPRODUCT('03_Colocation_Calc'!Z$3:Z$74,--('03_Colocation_Calc'!$D$3:$D$74="resident"),'03_Colocation_Calc'!$O$3:$O$74,'03_Colocation_Calc'!$G$3:$G$74)+SUMPRODUCT(MAX('03_Colocation_Calc'!Z$3:Z$74*--('03_Colocation_Calc'!$D$3:$D$74="ci_seq")*'03_Colocation_Calc'!$O$3:$O$74*'03_Colocation_Calc'!$G$3:$G$74))+SUMPRODUCT(MAX('03_Colocation_Calc'!Z$3:Z$74*--('03_Colocation_Calc'!$D$3:$D$74="async")*'03_Colocation_Calc'!$O$3:$O$74*'03_Colocation_Calc'!$G$3:$G$74))+SUMPRODUCT(MAX('03_Colocation_Calc'!Z$3:Z$74*--('03_Colocation_Calc'!$D$3:$D$74="load")*'03_Colocation_Calc'!$O$3:$O$74*'03_Colocation_Calc'!$G$3:$G$74))</f>
        <v/>
      </c>
      <c r="J9" s="82">
        <f>SUMPRODUCT('03_Colocation_Calc'!Z$3:Z$74,'03_Colocation_Calc'!$I$3:$I$74)*0.25</f>
        <v/>
      </c>
      <c r="K9" s="82">
        <f>SUMPRODUCT('03_Colocation_Calc'!Z$3:Z$74,'03_Colocation_Calc'!$I$3:$I$74,'03_Colocation_Calc'!$H$3:$H$74)</f>
        <v/>
      </c>
      <c r="L9" s="82">
        <f>MAX(D9,IF('05_Params'!$B$3="strict",F9,H9),J9)</f>
        <v/>
      </c>
      <c r="M9" s="82">
        <f>MAX(E9,IF('05_Params'!$B$3="strict",G9,I9),K9)</f>
        <v/>
      </c>
      <c r="N9" s="82">
        <f>L9+'05_Params'!$B$5</f>
        <v/>
      </c>
      <c r="O9" s="82">
        <f>M9+'05_Params'!$B$6</f>
        <v/>
      </c>
      <c r="P9" s="83">
        <f>IFERROR(INDEX('05_Params'!$E$4:$E$23,COUNTIF('05_Params'!$E$4:$E$23,"&lt;"&amp;N9)+1),CEILING(N9,64))</f>
        <v/>
      </c>
      <c r="Q9" s="83">
        <f>IFERROR(INDEX('05_Params'!$F$4:$F$23,COUNTIF('05_Params'!$F$4:$F$23,"&lt;"&amp;O9)+1),CEILING(O9,64))</f>
        <v/>
      </c>
      <c r="R9" s="84">
        <f>SUMPRODUCT('03_Colocation_Calc'!Z$3:Z$74,'03_Colocation_Calc'!$J$3:$J$74)</f>
        <v/>
      </c>
      <c r="S9" s="84">
        <f>SUMPRODUCT('03_Colocation_Calc'!Z$3:Z$74,'03_Colocation_Calc'!$R$3:$R$74)</f>
        <v/>
      </c>
      <c r="T9" s="84">
        <f>('05_Params'!$B$7+R9)/(1-'05_Params'!$B$8)</f>
        <v/>
      </c>
      <c r="U9" s="84">
        <f>S9/(1-'05_Params'!$B$8)</f>
        <v/>
      </c>
      <c r="V9" s="83">
        <f>IFERROR(INDEX('05_Params'!$G$4:$G$23,COUNTIF('05_Params'!$G$4:$G$23,"&lt;"&amp;T9)+1),CEILING(T9,64))</f>
        <v/>
      </c>
      <c r="W9" s="83">
        <f>IF(U9&lt;=0,0,IFERROR(INDEX('05_Params'!$G$4:$G$23,COUNTIF('05_Params'!$G$4:$G$23,"&lt;"&amp;U9)+1),CEILING(U9,64)))</f>
        <v/>
      </c>
      <c r="X9" s="85" t="n"/>
      <c r="Y9" s="85" t="n"/>
      <c r="Z9" s="85" t="n"/>
      <c r="AA9" s="85" t="n"/>
      <c r="AB9" s="84">
        <f>IF(X9="","",X9-P9)</f>
        <v/>
      </c>
      <c r="AC9" s="84">
        <f>IF(Y9="","",Y9-Q9)</f>
        <v/>
      </c>
      <c r="AD9" s="84">
        <f>IF(Z9="","",Z9-V9)</f>
        <v/>
      </c>
      <c r="AE9" s="84">
        <f>IF(AA9="","",AA9-W9)</f>
        <v/>
      </c>
      <c r="AF9" s="86">
        <f>IF(X9="","(ยังไม่กรอก spec)",IF(OR(AB9&lt;0,AC9&lt;0),"ไม่พอ: CPU/RAM",IF(OR(AD9&lt;0,AE9&lt;0),"เสี่ยง: Disk ไม่พอ","พอเพียง")))</f>
        <v/>
      </c>
      <c r="AG9" s="81">
        <f>IF(L9=D9,"A Peak-Max",IF(L9=J9,"C Resident","B Weighted"))</f>
        <v/>
      </c>
      <c r="AH9" s="81">
        <f>IF(M9=E9,"A Peak-Max",IF(M9=K9,"C Resident","B Weighted"))</f>
        <v/>
      </c>
    </row>
    <row r="10" ht="32" customHeight="1">
      <c r="A10" s="79" t="inlineStr">
        <is>
          <t>VM08</t>
        </is>
      </c>
      <c r="B10" s="80" t="inlineStr">
        <is>
          <t>(กรอกบทบาทหน้าที่)</t>
        </is>
      </c>
      <c r="C10" s="81">
        <f>SUM('03_Colocation_Calc'!AA$3:AA$74)</f>
        <v/>
      </c>
      <c r="D10" s="82">
        <f>SUMPRODUCT(MAX('03_Colocation_Calc'!AA$3:AA$74*'03_Colocation_Calc'!$F$3:$F$74))</f>
        <v/>
      </c>
      <c r="E10" s="82">
        <f>SUMPRODUCT(MAX('03_Colocation_Calc'!AA$3:AA$74*'03_Colocation_Calc'!$G$3:$G$74))</f>
        <v/>
      </c>
      <c r="F10" s="82">
        <f>SUMPRODUCT('03_Colocation_Calc'!AA$3:AA$74,'03_Colocation_Calc'!$O$3:$O$74,'03_Colocation_Calc'!$F$3:$F$74)</f>
        <v/>
      </c>
      <c r="G10" s="82">
        <f>SUMPRODUCT('03_Colocation_Calc'!AA$3:AA$74,'03_Colocation_Calc'!$O$3:$O$74,'03_Colocation_Calc'!$G$3:$G$74)</f>
        <v/>
      </c>
      <c r="H10" s="82">
        <f>SUMPRODUCT('03_Colocation_Calc'!AA$3:AA$74,--('03_Colocation_Calc'!$D$3:$D$74="resident"),'03_Colocation_Calc'!$O$3:$O$74,'03_Colocation_Calc'!$F$3:$F$74)+SUMPRODUCT(MAX('03_Colocation_Calc'!AA$3:AA$74*--('03_Colocation_Calc'!$D$3:$D$74="ci_seq")*'03_Colocation_Calc'!$O$3:$O$74*'03_Colocation_Calc'!$F$3:$F$74))+SUMPRODUCT(MAX('03_Colocation_Calc'!AA$3:AA$74*--('03_Colocation_Calc'!$D$3:$D$74="async")*'03_Colocation_Calc'!$O$3:$O$74*'03_Colocation_Calc'!$F$3:$F$74))+SUMPRODUCT(MAX('03_Colocation_Calc'!AA$3:AA$74*--('03_Colocation_Calc'!$D$3:$D$74="load")*'03_Colocation_Calc'!$O$3:$O$74*'03_Colocation_Calc'!$F$3:$F$74))</f>
        <v/>
      </c>
      <c r="I10" s="82">
        <f>SUMPRODUCT('03_Colocation_Calc'!AA$3:AA$74,--('03_Colocation_Calc'!$D$3:$D$74="resident"),'03_Colocation_Calc'!$O$3:$O$74,'03_Colocation_Calc'!$G$3:$G$74)+SUMPRODUCT(MAX('03_Colocation_Calc'!AA$3:AA$74*--('03_Colocation_Calc'!$D$3:$D$74="ci_seq")*'03_Colocation_Calc'!$O$3:$O$74*'03_Colocation_Calc'!$G$3:$G$74))+SUMPRODUCT(MAX('03_Colocation_Calc'!AA$3:AA$74*--('03_Colocation_Calc'!$D$3:$D$74="async")*'03_Colocation_Calc'!$O$3:$O$74*'03_Colocation_Calc'!$G$3:$G$74))+SUMPRODUCT(MAX('03_Colocation_Calc'!AA$3:AA$74*--('03_Colocation_Calc'!$D$3:$D$74="load")*'03_Colocation_Calc'!$O$3:$O$74*'03_Colocation_Calc'!$G$3:$G$74))</f>
        <v/>
      </c>
      <c r="J10" s="82">
        <f>SUMPRODUCT('03_Colocation_Calc'!AA$3:AA$74,'03_Colocation_Calc'!$I$3:$I$74)*0.25</f>
        <v/>
      </c>
      <c r="K10" s="82">
        <f>SUMPRODUCT('03_Colocation_Calc'!AA$3:AA$74,'03_Colocation_Calc'!$I$3:$I$74,'03_Colocation_Calc'!$H$3:$H$74)</f>
        <v/>
      </c>
      <c r="L10" s="82">
        <f>MAX(D10,IF('05_Params'!$B$3="strict",F10,H10),J10)</f>
        <v/>
      </c>
      <c r="M10" s="82">
        <f>MAX(E10,IF('05_Params'!$B$3="strict",G10,I10),K10)</f>
        <v/>
      </c>
      <c r="N10" s="82">
        <f>L10+'05_Params'!$B$5</f>
        <v/>
      </c>
      <c r="O10" s="82">
        <f>M10+'05_Params'!$B$6</f>
        <v/>
      </c>
      <c r="P10" s="83">
        <f>IFERROR(INDEX('05_Params'!$E$4:$E$23,COUNTIF('05_Params'!$E$4:$E$23,"&lt;"&amp;N10)+1),CEILING(N10,64))</f>
        <v/>
      </c>
      <c r="Q10" s="83">
        <f>IFERROR(INDEX('05_Params'!$F$4:$F$23,COUNTIF('05_Params'!$F$4:$F$23,"&lt;"&amp;O10)+1),CEILING(O10,64))</f>
        <v/>
      </c>
      <c r="R10" s="84">
        <f>SUMPRODUCT('03_Colocation_Calc'!AA$3:AA$74,'03_Colocation_Calc'!$J$3:$J$74)</f>
        <v/>
      </c>
      <c r="S10" s="84">
        <f>SUMPRODUCT('03_Colocation_Calc'!AA$3:AA$74,'03_Colocation_Calc'!$R$3:$R$74)</f>
        <v/>
      </c>
      <c r="T10" s="84">
        <f>('05_Params'!$B$7+R10)/(1-'05_Params'!$B$8)</f>
        <v/>
      </c>
      <c r="U10" s="84">
        <f>S10/(1-'05_Params'!$B$8)</f>
        <v/>
      </c>
      <c r="V10" s="83">
        <f>IFERROR(INDEX('05_Params'!$G$4:$G$23,COUNTIF('05_Params'!$G$4:$G$23,"&lt;"&amp;T10)+1),CEILING(T10,64))</f>
        <v/>
      </c>
      <c r="W10" s="83">
        <f>IF(U10&lt;=0,0,IFERROR(INDEX('05_Params'!$G$4:$G$23,COUNTIF('05_Params'!$G$4:$G$23,"&lt;"&amp;U10)+1),CEILING(U10,64)))</f>
        <v/>
      </c>
      <c r="X10" s="85" t="n"/>
      <c r="Y10" s="85" t="n"/>
      <c r="Z10" s="85" t="n"/>
      <c r="AA10" s="85" t="n"/>
      <c r="AB10" s="84">
        <f>IF(X10="","",X10-P10)</f>
        <v/>
      </c>
      <c r="AC10" s="84">
        <f>IF(Y10="","",Y10-Q10)</f>
        <v/>
      </c>
      <c r="AD10" s="84">
        <f>IF(Z10="","",Z10-V10)</f>
        <v/>
      </c>
      <c r="AE10" s="84">
        <f>IF(AA10="","",AA10-W10)</f>
        <v/>
      </c>
      <c r="AF10" s="86">
        <f>IF(X10="","(ยังไม่กรอก spec)",IF(OR(AB10&lt;0,AC10&lt;0),"ไม่พอ: CPU/RAM",IF(OR(AD10&lt;0,AE10&lt;0),"เสี่ยง: Disk ไม่พอ","พอเพียง")))</f>
        <v/>
      </c>
      <c r="AG10" s="81">
        <f>IF(L10=D10,"A Peak-Max",IF(L10=J10,"C Resident","B Weighted"))</f>
        <v/>
      </c>
      <c r="AH10" s="81">
        <f>IF(M10=E10,"A Peak-Max",IF(M10=K10,"C Resident","B Weighted"))</f>
        <v/>
      </c>
    </row>
    <row r="11" ht="32" customHeight="1">
      <c r="A11" s="79" t="inlineStr">
        <is>
          <t>VM09</t>
        </is>
      </c>
      <c r="B11" s="80" t="inlineStr">
        <is>
          <t>(กรอกบทบาทหน้าที่)</t>
        </is>
      </c>
      <c r="C11" s="81">
        <f>SUM('03_Colocation_Calc'!AB$3:AB$74)</f>
        <v/>
      </c>
      <c r="D11" s="82">
        <f>SUMPRODUCT(MAX('03_Colocation_Calc'!AB$3:AB$74*'03_Colocation_Calc'!$F$3:$F$74))</f>
        <v/>
      </c>
      <c r="E11" s="82">
        <f>SUMPRODUCT(MAX('03_Colocation_Calc'!AB$3:AB$74*'03_Colocation_Calc'!$G$3:$G$74))</f>
        <v/>
      </c>
      <c r="F11" s="82">
        <f>SUMPRODUCT('03_Colocation_Calc'!AB$3:AB$74,'03_Colocation_Calc'!$O$3:$O$74,'03_Colocation_Calc'!$F$3:$F$74)</f>
        <v/>
      </c>
      <c r="G11" s="82">
        <f>SUMPRODUCT('03_Colocation_Calc'!AB$3:AB$74,'03_Colocation_Calc'!$O$3:$O$74,'03_Colocation_Calc'!$G$3:$G$74)</f>
        <v/>
      </c>
      <c r="H11" s="82">
        <f>SUMPRODUCT('03_Colocation_Calc'!AB$3:AB$74,--('03_Colocation_Calc'!$D$3:$D$74="resident"),'03_Colocation_Calc'!$O$3:$O$74,'03_Colocation_Calc'!$F$3:$F$74)+SUMPRODUCT(MAX('03_Colocation_Calc'!AB$3:AB$74*--('03_Colocation_Calc'!$D$3:$D$74="ci_seq")*'03_Colocation_Calc'!$O$3:$O$74*'03_Colocation_Calc'!$F$3:$F$74))+SUMPRODUCT(MAX('03_Colocation_Calc'!AB$3:AB$74*--('03_Colocation_Calc'!$D$3:$D$74="async")*'03_Colocation_Calc'!$O$3:$O$74*'03_Colocation_Calc'!$F$3:$F$74))+SUMPRODUCT(MAX('03_Colocation_Calc'!AB$3:AB$74*--('03_Colocation_Calc'!$D$3:$D$74="load")*'03_Colocation_Calc'!$O$3:$O$74*'03_Colocation_Calc'!$F$3:$F$74))</f>
        <v/>
      </c>
      <c r="I11" s="82">
        <f>SUMPRODUCT('03_Colocation_Calc'!AB$3:AB$74,--('03_Colocation_Calc'!$D$3:$D$74="resident"),'03_Colocation_Calc'!$O$3:$O$74,'03_Colocation_Calc'!$G$3:$G$74)+SUMPRODUCT(MAX('03_Colocation_Calc'!AB$3:AB$74*--('03_Colocation_Calc'!$D$3:$D$74="ci_seq")*'03_Colocation_Calc'!$O$3:$O$74*'03_Colocation_Calc'!$G$3:$G$74))+SUMPRODUCT(MAX('03_Colocation_Calc'!AB$3:AB$74*--('03_Colocation_Calc'!$D$3:$D$74="async")*'03_Colocation_Calc'!$O$3:$O$74*'03_Colocation_Calc'!$G$3:$G$74))+SUMPRODUCT(MAX('03_Colocation_Calc'!AB$3:AB$74*--('03_Colocation_Calc'!$D$3:$D$74="load")*'03_Colocation_Calc'!$O$3:$O$74*'03_Colocation_Calc'!$G$3:$G$74))</f>
        <v/>
      </c>
      <c r="J11" s="82">
        <f>SUMPRODUCT('03_Colocation_Calc'!AB$3:AB$74,'03_Colocation_Calc'!$I$3:$I$74)*0.25</f>
        <v/>
      </c>
      <c r="K11" s="82">
        <f>SUMPRODUCT('03_Colocation_Calc'!AB$3:AB$74,'03_Colocation_Calc'!$I$3:$I$74,'03_Colocation_Calc'!$H$3:$H$74)</f>
        <v/>
      </c>
      <c r="L11" s="82">
        <f>MAX(D11,IF('05_Params'!$B$3="strict",F11,H11),J11)</f>
        <v/>
      </c>
      <c r="M11" s="82">
        <f>MAX(E11,IF('05_Params'!$B$3="strict",G11,I11),K11)</f>
        <v/>
      </c>
      <c r="N11" s="82">
        <f>L11+'05_Params'!$B$5</f>
        <v/>
      </c>
      <c r="O11" s="82">
        <f>M11+'05_Params'!$B$6</f>
        <v/>
      </c>
      <c r="P11" s="83">
        <f>IFERROR(INDEX('05_Params'!$E$4:$E$23,COUNTIF('05_Params'!$E$4:$E$23,"&lt;"&amp;N11)+1),CEILING(N11,64))</f>
        <v/>
      </c>
      <c r="Q11" s="83">
        <f>IFERROR(INDEX('05_Params'!$F$4:$F$23,COUNTIF('05_Params'!$F$4:$F$23,"&lt;"&amp;O11)+1),CEILING(O11,64))</f>
        <v/>
      </c>
      <c r="R11" s="84">
        <f>SUMPRODUCT('03_Colocation_Calc'!AB$3:AB$74,'03_Colocation_Calc'!$J$3:$J$74)</f>
        <v/>
      </c>
      <c r="S11" s="84">
        <f>SUMPRODUCT('03_Colocation_Calc'!AB$3:AB$74,'03_Colocation_Calc'!$R$3:$R$74)</f>
        <v/>
      </c>
      <c r="T11" s="84">
        <f>('05_Params'!$B$7+R11)/(1-'05_Params'!$B$8)</f>
        <v/>
      </c>
      <c r="U11" s="84">
        <f>S11/(1-'05_Params'!$B$8)</f>
        <v/>
      </c>
      <c r="V11" s="83">
        <f>IFERROR(INDEX('05_Params'!$G$4:$G$23,COUNTIF('05_Params'!$G$4:$G$23,"&lt;"&amp;T11)+1),CEILING(T11,64))</f>
        <v/>
      </c>
      <c r="W11" s="83">
        <f>IF(U11&lt;=0,0,IFERROR(INDEX('05_Params'!$G$4:$G$23,COUNTIF('05_Params'!$G$4:$G$23,"&lt;"&amp;U11)+1),CEILING(U11,64)))</f>
        <v/>
      </c>
      <c r="X11" s="85" t="n"/>
      <c r="Y11" s="85" t="n"/>
      <c r="Z11" s="85" t="n"/>
      <c r="AA11" s="85" t="n"/>
      <c r="AB11" s="84">
        <f>IF(X11="","",X11-P11)</f>
        <v/>
      </c>
      <c r="AC11" s="84">
        <f>IF(Y11="","",Y11-Q11)</f>
        <v/>
      </c>
      <c r="AD11" s="84">
        <f>IF(Z11="","",Z11-V11)</f>
        <v/>
      </c>
      <c r="AE11" s="84">
        <f>IF(AA11="","",AA11-W11)</f>
        <v/>
      </c>
      <c r="AF11" s="86">
        <f>IF(X11="","(ยังไม่กรอก spec)",IF(OR(AB11&lt;0,AC11&lt;0),"ไม่พอ: CPU/RAM",IF(OR(AD11&lt;0,AE11&lt;0),"เสี่ยง: Disk ไม่พอ","พอเพียง")))</f>
        <v/>
      </c>
      <c r="AG11" s="81">
        <f>IF(L11=D11,"A Peak-Max",IF(L11=J11,"C Resident","B Weighted"))</f>
        <v/>
      </c>
      <c r="AH11" s="81">
        <f>IF(M11=E11,"A Peak-Max",IF(M11=K11,"C Resident","B Weighted"))</f>
        <v/>
      </c>
    </row>
    <row r="12" ht="32" customHeight="1">
      <c r="A12" s="79" t="inlineStr">
        <is>
          <t>VM10</t>
        </is>
      </c>
      <c r="B12" s="80" t="inlineStr">
        <is>
          <t>(กรอกบทบาทหน้าที่)</t>
        </is>
      </c>
      <c r="C12" s="81">
        <f>SUM('03_Colocation_Calc'!AC$3:AC$74)</f>
        <v/>
      </c>
      <c r="D12" s="82">
        <f>SUMPRODUCT(MAX('03_Colocation_Calc'!AC$3:AC$74*'03_Colocation_Calc'!$F$3:$F$74))</f>
        <v/>
      </c>
      <c r="E12" s="82">
        <f>SUMPRODUCT(MAX('03_Colocation_Calc'!AC$3:AC$74*'03_Colocation_Calc'!$G$3:$G$74))</f>
        <v/>
      </c>
      <c r="F12" s="82">
        <f>SUMPRODUCT('03_Colocation_Calc'!AC$3:AC$74,'03_Colocation_Calc'!$O$3:$O$74,'03_Colocation_Calc'!$F$3:$F$74)</f>
        <v/>
      </c>
      <c r="G12" s="82">
        <f>SUMPRODUCT('03_Colocation_Calc'!AC$3:AC$74,'03_Colocation_Calc'!$O$3:$O$74,'03_Colocation_Calc'!$G$3:$G$74)</f>
        <v/>
      </c>
      <c r="H12" s="82">
        <f>SUMPRODUCT('03_Colocation_Calc'!AC$3:AC$74,--('03_Colocation_Calc'!$D$3:$D$74="resident"),'03_Colocation_Calc'!$O$3:$O$74,'03_Colocation_Calc'!$F$3:$F$74)+SUMPRODUCT(MAX('03_Colocation_Calc'!AC$3:AC$74*--('03_Colocation_Calc'!$D$3:$D$74="ci_seq")*'03_Colocation_Calc'!$O$3:$O$74*'03_Colocation_Calc'!$F$3:$F$74))+SUMPRODUCT(MAX('03_Colocation_Calc'!AC$3:AC$74*--('03_Colocation_Calc'!$D$3:$D$74="async")*'03_Colocation_Calc'!$O$3:$O$74*'03_Colocation_Calc'!$F$3:$F$74))+SUMPRODUCT(MAX('03_Colocation_Calc'!AC$3:AC$74*--('03_Colocation_Calc'!$D$3:$D$74="load")*'03_Colocation_Calc'!$O$3:$O$74*'03_Colocation_Calc'!$F$3:$F$74))</f>
        <v/>
      </c>
      <c r="I12" s="82">
        <f>SUMPRODUCT('03_Colocation_Calc'!AC$3:AC$74,--('03_Colocation_Calc'!$D$3:$D$74="resident"),'03_Colocation_Calc'!$O$3:$O$74,'03_Colocation_Calc'!$G$3:$G$74)+SUMPRODUCT(MAX('03_Colocation_Calc'!AC$3:AC$74*--('03_Colocation_Calc'!$D$3:$D$74="ci_seq")*'03_Colocation_Calc'!$O$3:$O$74*'03_Colocation_Calc'!$G$3:$G$74))+SUMPRODUCT(MAX('03_Colocation_Calc'!AC$3:AC$74*--('03_Colocation_Calc'!$D$3:$D$74="async")*'03_Colocation_Calc'!$O$3:$O$74*'03_Colocation_Calc'!$G$3:$G$74))+SUMPRODUCT(MAX('03_Colocation_Calc'!AC$3:AC$74*--('03_Colocation_Calc'!$D$3:$D$74="load")*'03_Colocation_Calc'!$O$3:$O$74*'03_Colocation_Calc'!$G$3:$G$74))</f>
        <v/>
      </c>
      <c r="J12" s="82">
        <f>SUMPRODUCT('03_Colocation_Calc'!AC$3:AC$74,'03_Colocation_Calc'!$I$3:$I$74)*0.25</f>
        <v/>
      </c>
      <c r="K12" s="82">
        <f>SUMPRODUCT('03_Colocation_Calc'!AC$3:AC$74,'03_Colocation_Calc'!$I$3:$I$74,'03_Colocation_Calc'!$H$3:$H$74)</f>
        <v/>
      </c>
      <c r="L12" s="82">
        <f>MAX(D12,IF('05_Params'!$B$3="strict",F12,H12),J12)</f>
        <v/>
      </c>
      <c r="M12" s="82">
        <f>MAX(E12,IF('05_Params'!$B$3="strict",G12,I12),K12)</f>
        <v/>
      </c>
      <c r="N12" s="82">
        <f>L12+'05_Params'!$B$5</f>
        <v/>
      </c>
      <c r="O12" s="82">
        <f>M12+'05_Params'!$B$6</f>
        <v/>
      </c>
      <c r="P12" s="83">
        <f>IFERROR(INDEX('05_Params'!$E$4:$E$23,COUNTIF('05_Params'!$E$4:$E$23,"&lt;"&amp;N12)+1),CEILING(N12,64))</f>
        <v/>
      </c>
      <c r="Q12" s="83">
        <f>IFERROR(INDEX('05_Params'!$F$4:$F$23,COUNTIF('05_Params'!$F$4:$F$23,"&lt;"&amp;O12)+1),CEILING(O12,64))</f>
        <v/>
      </c>
      <c r="R12" s="84">
        <f>SUMPRODUCT('03_Colocation_Calc'!AC$3:AC$74,'03_Colocation_Calc'!$J$3:$J$74)</f>
        <v/>
      </c>
      <c r="S12" s="84">
        <f>SUMPRODUCT('03_Colocation_Calc'!AC$3:AC$74,'03_Colocation_Calc'!$R$3:$R$74)</f>
        <v/>
      </c>
      <c r="T12" s="84">
        <f>('05_Params'!$B$7+R12)/(1-'05_Params'!$B$8)</f>
        <v/>
      </c>
      <c r="U12" s="84">
        <f>S12/(1-'05_Params'!$B$8)</f>
        <v/>
      </c>
      <c r="V12" s="83">
        <f>IFERROR(INDEX('05_Params'!$G$4:$G$23,COUNTIF('05_Params'!$G$4:$G$23,"&lt;"&amp;T12)+1),CEILING(T12,64))</f>
        <v/>
      </c>
      <c r="W12" s="83">
        <f>IF(U12&lt;=0,0,IFERROR(INDEX('05_Params'!$G$4:$G$23,COUNTIF('05_Params'!$G$4:$G$23,"&lt;"&amp;U12)+1),CEILING(U12,64)))</f>
        <v/>
      </c>
      <c r="X12" s="85" t="n"/>
      <c r="Y12" s="85" t="n"/>
      <c r="Z12" s="85" t="n"/>
      <c r="AA12" s="85" t="n"/>
      <c r="AB12" s="84">
        <f>IF(X12="","",X12-P12)</f>
        <v/>
      </c>
      <c r="AC12" s="84">
        <f>IF(Y12="","",Y12-Q12)</f>
        <v/>
      </c>
      <c r="AD12" s="84">
        <f>IF(Z12="","",Z12-V12)</f>
        <v/>
      </c>
      <c r="AE12" s="84">
        <f>IF(AA12="","",AA12-W12)</f>
        <v/>
      </c>
      <c r="AF12" s="86">
        <f>IF(X12="","(ยังไม่กรอก spec)",IF(OR(AB12&lt;0,AC12&lt;0),"ไม่พอ: CPU/RAM",IF(OR(AD12&lt;0,AE12&lt;0),"เสี่ยง: Disk ไม่พอ","พอเพียง")))</f>
        <v/>
      </c>
      <c r="AG12" s="81">
        <f>IF(L12=D12,"A Peak-Max",IF(L12=J12,"C Resident","B Weighted"))</f>
        <v/>
      </c>
      <c r="AH12" s="81">
        <f>IF(M12=E12,"A Peak-Max",IF(M12=K12,"C Resident","B Weighted"))</f>
        <v/>
      </c>
    </row>
    <row r="15">
      <c r="A15" s="87" t="inlineStr">
        <is>
          <t>วิธีคำนวณ (ตามเงื่อนไขที่กำหนด)</t>
        </is>
      </c>
    </row>
    <row r="16" ht="30" customHeight="1">
      <c r="A16" s="88" t="inlineStr">
        <is>
          <t>เงื่อนไข 1 — A: Peak-Max</t>
        </is>
      </c>
      <c r="C16" s="89" t="inlineStr">
        <is>
          <t>คือ MAX( minimum ของทุกเครื่องมือบนเครื่องนั้น )  ตีความว่า ณ เวลาหนึ่งมีเครื่องมือเดียวที่ทำงานหนักสุด — เป็นพื้นขั้นต่ำที่ต้องมีเพื่อให้ตัวที่หนักสุดรันผ่าน</t>
        </is>
      </c>
    </row>
    <row r="17" ht="30" customHeight="1">
      <c r="A17" s="88" t="inlineStr">
        <is>
          <t>เงื่อนไข 2 — B1: Weighted-Sum (strict)</t>
        </is>
      </c>
      <c r="C17" s="89" t="inlineStr">
        <is>
          <t>คือ ผลรวมของ ( minimum x w ) ทุกเครื่องมือ  โดย w = 50% ถึง 95% ตามความถี่ที่เครื่องมือต้องรันหรือรันค้างหลังบ้าน (ดูชีท 02) — เป็นค่าที่โจทย์กำหนด และเป็นค่าปลอดภัยที่สุด</t>
        </is>
      </c>
    </row>
    <row r="18" ht="30" customHeight="1">
      <c r="A18" s="88" t="inlineStr">
        <is>
          <t>เงื่อนไข 2 — B2: Weighted-Sum (realistic)</t>
        </is>
      </c>
      <c r="C18" s="89" t="inlineStr">
        <is>
          <t>คือ ผลรวมกลุ่ม resident (บวกทุกตัว) + ค่าสูงสุดของกลุ่ม ci_seq + ค่าสูงสุดของกลุ่ม async + ค่าสูงสุดของกลุ่ม load  เพราะขั้นตอนภายใน Pipeline รอบเดียวกันทำงานเรียงต่อกัน ไม่ได้รันพร้อมกัน</t>
        </is>
      </c>
    </row>
    <row r="19" ht="30" customHeight="1">
      <c r="A19" s="88" t="inlineStr">
        <is>
          <t>ตัวตรวจ — C: Resident Floor</t>
        </is>
      </c>
      <c r="C19" s="89" t="inlineStr">
        <is>
          <t>คือ ผลรวม Idle RAM ของเครื่องมือที่รันค้าง 24/7  ถ้า A และ B ต่ำกว่า C แปลว่าเครื่องบูตขึ้นมาก็เต็มแล้ว จึงต้องยกขึ้นเป็น C</t>
        </is>
      </c>
    </row>
    <row r="20" ht="30" customHeight="1">
      <c r="A20" s="88" t="inlineStr">
        <is>
          <t>ผลลัพธ์</t>
        </is>
      </c>
      <c r="C20" s="89" t="inlineStr">
        <is>
          <t>REQUIRED เท่ากับ MAX(A, B, C) + OS Reserve  -&gt;  ปัดขึ้นตาม Allocation Ladder  (ตามโจทย์ที่ระบุว่า 'ต้องเป็นค่าที่มากสุดสำหรับ minimum เท่านั้น')</t>
        </is>
      </c>
    </row>
    <row r="21" ht="30" customHeight="1">
      <c r="A21" s="88" t="inlineStr">
        <is>
          <t>Disk OS</t>
        </is>
      </c>
      <c r="C21" s="89" t="inlineStr">
        <is>
          <t>คือ (OS Reserve + ผลรวม Install ของทุกเครื่องมือ) / (1 - Disk Free Ratio)</t>
        </is>
      </c>
    </row>
    <row r="22" ht="30" customHeight="1">
      <c r="A22" s="88" t="inlineStr">
        <is>
          <t>Disk Data</t>
        </is>
      </c>
      <c r="C22" s="89" t="inlineStr">
        <is>
          <t>คือ ผลรวม Data GB ณ ช่วงเวลาที่ประเมิน / (1 - Disk Free Ratio)  โดย Data GB เท่ากับ GB/วัน x Scale x (1+Growth)^(เดือน/12) x MIN(Retention, เดือน x 30.44) x (1 + Index OH)</t>
        </is>
      </c>
    </row>
  </sheetData>
  <mergeCells count="7">
    <mergeCell ref="C19:R19"/>
    <mergeCell ref="C22:R22"/>
    <mergeCell ref="C18:R18"/>
    <mergeCell ref="C17:R17"/>
    <mergeCell ref="C20:R20"/>
    <mergeCell ref="C21:R21"/>
    <mergeCell ref="C16:R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  <col width="12" customWidth="1" min="5" max="5"/>
    <col width="12" customWidth="1" min="6" max="6"/>
    <col width="12" customWidth="1" min="7" max="7"/>
  </cols>
  <sheetData>
    <row r="1" ht="24" customHeight="1">
      <c r="A1" s="8" t="inlineStr">
        <is>
          <t>05 — พารามิเตอร์ของโมเดล (แก้ไขได้)</t>
        </is>
      </c>
      <c r="C1" s="3" t="inlineStr">
        <is>
          <t>ช่องตัวอักษรสีน้ำเงิน = ผู้ใช้แก้ไขได้ / สีดำ = คำนวณอัตโนมัติ</t>
        </is>
      </c>
    </row>
    <row r="2">
      <c r="E2" s="43" t="inlineStr">
        <is>
          <t>Allocation Ladder — ปัดขึ้นเสมอ</t>
        </is>
      </c>
    </row>
    <row r="3" ht="30" customHeight="1">
      <c r="A3" s="40" t="inlineStr">
        <is>
          <t>โหมดการคำนวณ (mode)</t>
        </is>
      </c>
      <c r="B3" s="90" t="inlineStr">
        <is>
          <t>strict</t>
        </is>
      </c>
      <c r="C3" s="91" t="inlineStr">
        <is>
          <t>strict = ใช้เงื่อนไข B1 บวกทุกเครื่องมือถ่วงน้ำหนัก (ตามโจทย์ที่กำหนด, ปลอดภัยที่สุด) | realistic = ใช้ B2 บวกข้ามกลุ่มและใช้ค่าสูงสุดในกลุ่มที่รันเรียงกัน</t>
        </is>
      </c>
      <c r="E3" s="92" t="inlineStr">
        <is>
          <t>vCPU</t>
        </is>
      </c>
      <c r="F3" s="92" t="inlineStr">
        <is>
          <t>RAM (GB)</t>
        </is>
      </c>
      <c r="G3" s="92" t="inlineStr">
        <is>
          <t>Disk (GB)</t>
        </is>
      </c>
    </row>
    <row r="4" ht="30" customHeight="1">
      <c r="A4" s="40" t="inlineStr">
        <is>
          <t>Scale Factor ปริมาณข้อมูล</t>
        </is>
      </c>
      <c r="B4" s="90" t="n">
        <v>1</v>
      </c>
      <c r="C4" s="91" t="inlineStr">
        <is>
          <t>1.0 = ค่าฐาน UAT/Production ขนาดเล็ก (~10 builds/วัน, 1-3 แอป, ทีม 5-15 คน). ทีม 50 คน / 50 builds ต่อวัน ให้ใช้ 3-5</t>
        </is>
      </c>
      <c r="E4" s="93" t="n">
        <v>2</v>
      </c>
      <c r="F4" s="93" t="n">
        <v>2</v>
      </c>
      <c r="G4" s="93" t="n">
        <v>20</v>
      </c>
    </row>
    <row r="5" ht="30" customHeight="1">
      <c r="A5" s="40" t="inlineStr">
        <is>
          <t>OS Reserve — vCPU</t>
        </is>
      </c>
      <c r="B5" s="90" t="n">
        <v>1</v>
      </c>
      <c r="C5" s="91" t="inlineStr">
        <is>
          <t>กันไว้ให้ OS + Container Runtime ของทุก VM</t>
        </is>
      </c>
      <c r="E5" s="93" t="n">
        <v>4</v>
      </c>
      <c r="F5" s="93" t="n">
        <v>4</v>
      </c>
      <c r="G5" s="93" t="n">
        <v>40</v>
      </c>
    </row>
    <row r="6" ht="30" customHeight="1">
      <c r="A6" s="40" t="inlineStr">
        <is>
          <t>OS Reserve — RAM (GB)</t>
        </is>
      </c>
      <c r="B6" s="90" t="n">
        <v>2</v>
      </c>
      <c r="C6" s="91" t="inlineStr">
        <is>
          <t>กันไว้ให้ OS + Docker/containerd + Agent ต่าง ๆ</t>
        </is>
      </c>
      <c r="E6" s="93" t="n">
        <v>6</v>
      </c>
      <c r="F6" s="93" t="n">
        <v>8</v>
      </c>
      <c r="G6" s="93" t="n">
        <v>60</v>
      </c>
    </row>
    <row r="7" ht="30" customHeight="1">
      <c r="A7" s="40" t="inlineStr">
        <is>
          <t>OS Reserve — Disk (GB)</t>
        </is>
      </c>
      <c r="B7" s="90" t="n">
        <v>20</v>
      </c>
      <c r="C7" s="91" t="inlineStr">
        <is>
          <t>ระบบปฏิบัติการ Ubuntu + swap + log ระบบ</t>
        </is>
      </c>
      <c r="E7" s="93" t="n">
        <v>8</v>
      </c>
      <c r="F7" s="93" t="n">
        <v>12</v>
      </c>
      <c r="G7" s="93" t="n">
        <v>80</v>
      </c>
    </row>
    <row r="8" ht="30" customHeight="1">
      <c r="A8" s="40" t="inlineStr">
        <is>
          <t>Disk Free Ratio</t>
        </is>
      </c>
      <c r="B8" s="94" t="n">
        <v>0.25</v>
      </c>
      <c r="C8" s="91" t="inlineStr">
        <is>
          <t>ต้องเหลือพื้นที่ว่างเป็นสัดส่วนนี้เสมอ (0.25 = เหลือว่าง 25%) เพราะ Docker/Elasticsearch จะหยุดทำงานเมื่อ disk ใกล้เต็ม</t>
        </is>
      </c>
      <c r="E8" s="93" t="n">
        <v>12</v>
      </c>
      <c r="F8" s="93" t="n">
        <v>16</v>
      </c>
      <c r="G8" s="93" t="n">
        <v>100</v>
      </c>
    </row>
    <row r="9" ht="30" customHeight="1">
      <c r="A9" s="40" t="inlineStr">
        <is>
          <t>w_base (น้ำหนักต่ำสุด)</t>
        </is>
      </c>
      <c r="B9" s="90" t="n">
        <v>0.2</v>
      </c>
      <c r="C9" s="91" t="inlineStr">
        <is>
          <t>คือ 20% — ใช้กับเครื่องมือที่รันตามคำสั่ง/รอบ Release</t>
        </is>
      </c>
      <c r="E9" s="93" t="n">
        <v>16</v>
      </c>
      <c r="F9" s="93" t="n">
        <v>24</v>
      </c>
      <c r="G9" s="93" t="n">
        <v>150</v>
      </c>
    </row>
    <row r="10" ht="30" customHeight="1">
      <c r="A10" s="40" t="inlineStr">
        <is>
          <t>w_span (ช่วงน้ำหนัก)</t>
        </is>
      </c>
      <c r="B10" s="90" t="n">
        <v>0.4</v>
      </c>
      <c r="C10" s="91" t="inlineStr">
        <is>
          <t>คือ 0.40 ทำให้น้ำหนักเดี่ยวสูงสุด = 0.20 + 0.40 = 0.60 (60%) เมื่ออยู่เครื่องเดียว</t>
        </is>
      </c>
      <c r="E10" s="93" t="n">
        <v>24</v>
      </c>
      <c r="F10" s="93" t="n">
        <v>32</v>
      </c>
      <c r="G10" s="93" t="n">
        <v>200</v>
      </c>
    </row>
    <row r="11">
      <c r="E11" s="93" t="n">
        <v>32</v>
      </c>
      <c r="F11" s="93" t="n">
        <v>48</v>
      </c>
      <c r="G11" s="93" t="n">
        <v>300</v>
      </c>
    </row>
    <row r="12">
      <c r="A12" s="40" t="inlineStr">
        <is>
          <t>ช่วงเวลาประเมินผลลัพธ์ระยะยาว (เดือน)</t>
        </is>
      </c>
      <c r="E12" s="93" t="n">
        <v>48</v>
      </c>
      <c r="F12" s="93" t="n">
        <v>64</v>
      </c>
      <c r="G12" s="93" t="n">
        <v>500</v>
      </c>
    </row>
    <row r="13">
      <c r="A13" s="40" t="inlineStr">
        <is>
          <t>H1</t>
        </is>
      </c>
      <c r="B13" s="90" t="n">
        <v>12</v>
      </c>
      <c r="C13" s="49" t="inlineStr"/>
      <c r="E13" s="93" t="n">
        <v>64</v>
      </c>
      <c r="F13" s="93" t="n">
        <v>96</v>
      </c>
      <c r="G13" s="93" t="n">
        <v>750</v>
      </c>
    </row>
    <row r="14">
      <c r="A14" s="40" t="inlineStr">
        <is>
          <t>H2</t>
        </is>
      </c>
      <c r="B14" s="90" t="n">
        <v>24</v>
      </c>
      <c r="C14" s="49" t="inlineStr"/>
      <c r="F14" s="93" t="n">
        <v>128</v>
      </c>
      <c r="G14" s="93" t="n">
        <v>1000</v>
      </c>
    </row>
    <row r="15">
      <c r="A15" s="40" t="inlineStr">
        <is>
          <t>H3</t>
        </is>
      </c>
      <c r="B15" s="90" t="n">
        <v>36</v>
      </c>
      <c r="C15" s="49" t="inlineStr">
        <is>
          <t>ค่านี้ใช้ในคอลัมน์ 'Data @H3' ของชีท 04_VM_Sizing</t>
        </is>
      </c>
      <c r="F15" s="93" t="n">
        <v>192</v>
      </c>
      <c r="G15" s="93" t="n">
        <v>1500</v>
      </c>
    </row>
    <row r="16">
      <c r="A16" s="40" t="inlineStr">
        <is>
          <t>H4</t>
        </is>
      </c>
      <c r="B16" s="90" t="n">
        <v>60</v>
      </c>
      <c r="C16" s="49" t="inlineStr"/>
      <c r="F16" s="93" t="n">
        <v>256</v>
      </c>
      <c r="G16" s="93" t="n">
        <v>2000</v>
      </c>
    </row>
    <row r="17">
      <c r="G17" s="93" t="n">
        <v>3000</v>
      </c>
    </row>
    <row r="18">
      <c r="G18" s="93" t="n">
        <v>4000</v>
      </c>
    </row>
    <row r="19">
      <c r="G19" s="93" t="n">
        <v>6000</v>
      </c>
    </row>
    <row r="20">
      <c r="G20" s="93" t="n">
        <v>8000</v>
      </c>
    </row>
  </sheetData>
  <dataValidations count="1">
    <dataValidation sqref="B3" showDropDown="0" showInputMessage="0" showErrorMessage="0" allowBlank="0" type="list">
      <formula1>"strict,realistic"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2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60" customWidth="1" min="13" max="13"/>
  </cols>
  <sheetData>
    <row r="1" ht="24" customHeight="1">
      <c r="A1" s="8" t="inlineStr">
        <is>
          <t>06 — ผลลัพธ์ระยะยาวของพื้นที่จัดเก็บ (Storage Long-term Projection)</t>
        </is>
      </c>
      <c r="C1" s="3" t="inlineStr">
        <is>
          <t>ต่อ 1 instance ของเครื่องมือ — คูณจำนวน instance และรวมตาม VM ที่ชีท 04</t>
        </is>
      </c>
    </row>
    <row r="2" ht="46" customHeight="1">
      <c r="A2" s="9" t="inlineStr">
        <is>
          <t>tool_id</t>
        </is>
      </c>
      <c r="B2" s="9" t="inlineStr">
        <is>
          <t>เครื่องมือ</t>
        </is>
      </c>
      <c r="C2" s="9" t="inlineStr">
        <is>
          <t>Install (GB)</t>
        </is>
      </c>
      <c r="D2" s="9" t="inlineStr">
        <is>
          <t>GB/วัน</t>
        </is>
      </c>
      <c r="E2" s="9" t="inlineStr">
        <is>
          <t>Retention
(วัน)</t>
        </is>
      </c>
      <c r="F2" s="9" t="inlineStr">
        <is>
          <t>Index OH</t>
        </is>
      </c>
      <c r="G2" s="9" t="inlineStr">
        <is>
          <t>Growth/ปี</t>
        </is>
      </c>
      <c r="H2" s="9" t="inlineStr">
        <is>
          <t>รวม @12 ด.</t>
        </is>
      </c>
      <c r="I2" s="9" t="inlineStr">
        <is>
          <t>รวม @24 ด.</t>
        </is>
      </c>
      <c r="J2" s="9" t="inlineStr">
        <is>
          <t>รวม @36 ด.</t>
        </is>
      </c>
      <c r="K2" s="9" t="inlineStr">
        <is>
          <t>รวม @60 ด.</t>
        </is>
      </c>
      <c r="L2" s="9" t="inlineStr">
        <is>
          <t>ต้องจัดสรร @60 ด.</t>
        </is>
      </c>
      <c r="M2" s="9" t="inlineStr">
        <is>
          <t>ข้อควรทำเพื่อคุมการโต</t>
        </is>
      </c>
    </row>
    <row r="3" ht="34" customHeight="1">
      <c r="A3" s="95" t="inlineStr">
        <is>
          <t>gitlab-ce</t>
        </is>
      </c>
      <c r="B3" s="96" t="inlineStr">
        <is>
          <t>GitLab Community Edition (Self-hosted Git)</t>
        </is>
      </c>
      <c r="C3" s="95" t="n">
        <v>40</v>
      </c>
      <c r="D3" s="95" t="n">
        <v>0.05</v>
      </c>
      <c r="E3" s="95" t="n">
        <v>3650</v>
      </c>
      <c r="F3" s="97" t="n">
        <v>0.2</v>
      </c>
      <c r="G3" s="97" t="n">
        <v>0.25</v>
      </c>
      <c r="H3" s="54">
        <f>$C3+$D3*'05_Params'!$B$4*POWER(1+$G3,'05_Params'!$B$13/12)*MIN($E3,'05_Params'!$B$13*30.44)*(1+$F3)</f>
        <v/>
      </c>
      <c r="I3" s="54">
        <f>$C3+$D3*'05_Params'!$B$4*POWER(1+$G3,'05_Params'!$B$14/12)*MIN($E3,'05_Params'!$B$14*30.44)*(1+$F3)</f>
        <v/>
      </c>
      <c r="J3" s="54">
        <f>$C3+$D3*'05_Params'!$B$4*POWER(1+$G3,'05_Params'!$B$15/12)*MIN($E3,'05_Params'!$B$15*30.44)*(1+$F3)</f>
        <v/>
      </c>
      <c r="K3" s="54">
        <f>$C3+$D3*'05_Params'!$B$4*POWER(1+$G3,'05_Params'!$B$16/12)*MIN($E3,'05_Params'!$B$16*30.44)*(1+$F3)</f>
        <v/>
      </c>
      <c r="L3" s="98">
        <f>IFERROR(INDEX('05_Params'!$G$4:$G$23,COUNTIF('05_Params'!$G$4:$G$23,"&lt;"&amp;K3/(1-'05_Params'!$B$8))+1),CEILING(K3/(1-'05_Params'!$B$8),64))</f>
        <v/>
      </c>
      <c r="M3" s="99" t="inlineStr">
        <is>
          <t>ตั้ง housekeeping (git gc) อัตโนมัติ + จำกัดขนาด artifact และ LFS</t>
        </is>
      </c>
    </row>
    <row r="4" ht="34" customHeight="1">
      <c r="A4" s="95" t="inlineStr">
        <is>
          <t>gitea</t>
        </is>
      </c>
      <c r="B4" s="96" t="inlineStr">
        <is>
          <t>Gitea / Forgejo (Lightweight Git)</t>
        </is>
      </c>
      <c r="C4" s="95" t="n">
        <v>10</v>
      </c>
      <c r="D4" s="95" t="n">
        <v>0.02</v>
      </c>
      <c r="E4" s="95" t="n">
        <v>3650</v>
      </c>
      <c r="F4" s="97" t="n">
        <v>0.1</v>
      </c>
      <c r="G4" s="97" t="n">
        <v>0.25</v>
      </c>
      <c r="H4" s="54">
        <f>$C4+$D4*'05_Params'!$B$4*POWER(1+$G4,'05_Params'!$B$13/12)*MIN($E4,'05_Params'!$B$13*30.44)*(1+$F4)</f>
        <v/>
      </c>
      <c r="I4" s="54">
        <f>$C4+$D4*'05_Params'!$B$4*POWER(1+$G4,'05_Params'!$B$14/12)*MIN($E4,'05_Params'!$B$14*30.44)*(1+$F4)</f>
        <v/>
      </c>
      <c r="J4" s="54">
        <f>$C4+$D4*'05_Params'!$B$4*POWER(1+$G4,'05_Params'!$B$15/12)*MIN($E4,'05_Params'!$B$15*30.44)*(1+$F4)</f>
        <v/>
      </c>
      <c r="K4" s="54">
        <f>$C4+$D4*'05_Params'!$B$4*POWER(1+$G4,'05_Params'!$B$16/12)*MIN($E4,'05_Params'!$B$16*30.44)*(1+$F4)</f>
        <v/>
      </c>
      <c r="L4" s="98">
        <f>IFERROR(INDEX('05_Params'!$G$4:$G$23,COUNTIF('05_Params'!$G$4:$G$23,"&lt;"&amp;K4/(1-'05_Params'!$B$8))+1),CEILING(K4/(1-'05_Params'!$B$8),64))</f>
        <v/>
      </c>
      <c r="M4" s="99" t="inlineStr">
        <is>
          <t>ปริมาณข้อมูลน้อย ไม่ต้องมีนโยบายเฉพาะ — รวมอยู่ใน Disk OS ได้</t>
        </is>
      </c>
    </row>
    <row r="5" ht="34" customHeight="1">
      <c r="A5" s="95" t="inlineStr">
        <is>
          <t>github-actions-runner</t>
        </is>
      </c>
      <c r="B5" s="96" t="inlineStr">
        <is>
          <t>GitHub Actions Self-hosted Runner</t>
        </is>
      </c>
      <c r="C5" s="95" t="n">
        <v>60</v>
      </c>
      <c r="D5" s="95" t="n">
        <v>0.6</v>
      </c>
      <c r="E5" s="95" t="n">
        <v>30</v>
      </c>
      <c r="F5" s="97" t="n">
        <v>0.05</v>
      </c>
      <c r="G5" s="97" t="n">
        <v>0.2</v>
      </c>
      <c r="H5" s="54">
        <f>$C5+$D5*'05_Params'!$B$4*POWER(1+$G5,'05_Params'!$B$13/12)*MIN($E5,'05_Params'!$B$13*30.44)*(1+$F5)</f>
        <v/>
      </c>
      <c r="I5" s="54">
        <f>$C5+$D5*'05_Params'!$B$4*POWER(1+$G5,'05_Params'!$B$14/12)*MIN($E5,'05_Params'!$B$14*30.44)*(1+$F5)</f>
        <v/>
      </c>
      <c r="J5" s="54">
        <f>$C5+$D5*'05_Params'!$B$4*POWER(1+$G5,'05_Params'!$B$15/12)*MIN($E5,'05_Params'!$B$15*30.44)*(1+$F5)</f>
        <v/>
      </c>
      <c r="K5" s="54">
        <f>$C5+$D5*'05_Params'!$B$4*POWER(1+$G5,'05_Params'!$B$16/12)*MIN($E5,'05_Params'!$B$16*30.44)*(1+$F5)</f>
        <v/>
      </c>
      <c r="L5" s="98">
        <f>IFERROR(INDEX('05_Params'!$G$4:$G$23,COUNTIF('05_Params'!$G$4:$G$23,"&lt;"&amp;K5/(1-'05_Params'!$B$8))+1),CEILING(K5/(1-'05_Params'!$B$8),64))</f>
        <v/>
      </c>
      <c r="M5" s="99" t="inlineStr">
        <is>
          <t>ปริมาณข้อมูลน้อย ไม่ต้องมีนโยบายเฉพาะ — รวมอยู่ใน Disk OS ได้</t>
        </is>
      </c>
    </row>
    <row r="6" ht="34" customHeight="1">
      <c r="A6" s="95" t="inlineStr">
        <is>
          <t>jenkins-master</t>
        </is>
      </c>
      <c r="B6" s="96" t="inlineStr">
        <is>
          <t>Jenkins Master / Controller</t>
        </is>
      </c>
      <c r="C6" s="95" t="n">
        <v>20</v>
      </c>
      <c r="D6" s="95" t="n">
        <v>0.15</v>
      </c>
      <c r="E6" s="95" t="n">
        <v>180</v>
      </c>
      <c r="F6" s="97" t="n">
        <v>0.1</v>
      </c>
      <c r="G6" s="97" t="n">
        <v>0.15</v>
      </c>
      <c r="H6" s="54">
        <f>$C6+$D6*'05_Params'!$B$4*POWER(1+$G6,'05_Params'!$B$13/12)*MIN($E6,'05_Params'!$B$13*30.44)*(1+$F6)</f>
        <v/>
      </c>
      <c r="I6" s="54">
        <f>$C6+$D6*'05_Params'!$B$4*POWER(1+$G6,'05_Params'!$B$14/12)*MIN($E6,'05_Params'!$B$14*30.44)*(1+$F6)</f>
        <v/>
      </c>
      <c r="J6" s="54">
        <f>$C6+$D6*'05_Params'!$B$4*POWER(1+$G6,'05_Params'!$B$15/12)*MIN($E6,'05_Params'!$B$15*30.44)*(1+$F6)</f>
        <v/>
      </c>
      <c r="K6" s="54">
        <f>$C6+$D6*'05_Params'!$B$4*POWER(1+$G6,'05_Params'!$B$16/12)*MIN($E6,'05_Params'!$B$16*30.44)*(1+$F6)</f>
        <v/>
      </c>
      <c r="L6" s="98">
        <f>IFERROR(INDEX('05_Params'!$G$4:$G$23,COUNTIF('05_Params'!$G$4:$G$23,"&lt;"&amp;K6/(1-'05_Params'!$B$8))+1),CEILING(K6/(1-'05_Params'!$B$8),64))</f>
        <v/>
      </c>
      <c r="M6" s="99" t="inlineStr">
        <is>
          <t>ตั้ง buildDiscarder(logRotator(numToKeepStr:'50', daysToKeepStr:'180'))</t>
        </is>
      </c>
    </row>
    <row r="7" ht="34" customHeight="1">
      <c r="A7" s="95" t="inlineStr">
        <is>
          <t>jenkins-agent</t>
        </is>
      </c>
      <c r="B7" s="96" t="inlineStr">
        <is>
          <t>Jenkins Agent / Build Executor (ต่อ 1 Executor)</t>
        </is>
      </c>
      <c r="C7" s="95" t="n">
        <v>60</v>
      </c>
      <c r="D7" s="95" t="n">
        <v>0.8</v>
      </c>
      <c r="E7" s="95" t="n">
        <v>7</v>
      </c>
      <c r="F7" s="97" t="n">
        <v>0.05</v>
      </c>
      <c r="G7" s="97" t="n">
        <v>0.2</v>
      </c>
      <c r="H7" s="54">
        <f>$C7+$D7*'05_Params'!$B$4*POWER(1+$G7,'05_Params'!$B$13/12)*MIN($E7,'05_Params'!$B$13*30.44)*(1+$F7)</f>
        <v/>
      </c>
      <c r="I7" s="54">
        <f>$C7+$D7*'05_Params'!$B$4*POWER(1+$G7,'05_Params'!$B$14/12)*MIN($E7,'05_Params'!$B$14*30.44)*(1+$F7)</f>
        <v/>
      </c>
      <c r="J7" s="54">
        <f>$C7+$D7*'05_Params'!$B$4*POWER(1+$G7,'05_Params'!$B$15/12)*MIN($E7,'05_Params'!$B$15*30.44)*(1+$F7)</f>
        <v/>
      </c>
      <c r="K7" s="54">
        <f>$C7+$D7*'05_Params'!$B$4*POWER(1+$G7,'05_Params'!$B$16/12)*MIN($E7,'05_Params'!$B$16*30.44)*(1+$F7)</f>
        <v/>
      </c>
      <c r="L7" s="98">
        <f>IFERROR(INDEX('05_Params'!$G$4:$G$23,COUNTIF('05_Params'!$G$4:$G$23,"&lt;"&amp;K7/(1-'05_Params'!$B$8))+1),CEILING(K7/(1-'05_Params'!$B$8),64))</f>
        <v/>
      </c>
      <c r="M7" s="99" t="inlineStr">
        <is>
          <t>ใช้ cleanWs() ทุกท้าย Pipeline และตั้ง Workspace Cleanup Plugin</t>
        </is>
      </c>
    </row>
    <row r="8" ht="34" customHeight="1">
      <c r="A8" s="95" t="inlineStr">
        <is>
          <t>argo-workflows</t>
        </is>
      </c>
      <c r="B8" s="96" t="inlineStr">
        <is>
          <t>Argo Workflows (CNCF Graduated)</t>
        </is>
      </c>
      <c r="C8" s="95" t="n">
        <v>10</v>
      </c>
      <c r="D8" s="95" t="n">
        <v>0.15</v>
      </c>
      <c r="E8" s="95" t="n">
        <v>90</v>
      </c>
      <c r="F8" s="97" t="n">
        <v>0.1</v>
      </c>
      <c r="G8" s="97" t="n">
        <v>0.2</v>
      </c>
      <c r="H8" s="54">
        <f>$C8+$D8*'05_Params'!$B$4*POWER(1+$G8,'05_Params'!$B$13/12)*MIN($E8,'05_Params'!$B$13*30.44)*(1+$F8)</f>
        <v/>
      </c>
      <c r="I8" s="54">
        <f>$C8+$D8*'05_Params'!$B$4*POWER(1+$G8,'05_Params'!$B$14/12)*MIN($E8,'05_Params'!$B$14*30.44)*(1+$F8)</f>
        <v/>
      </c>
      <c r="J8" s="54">
        <f>$C8+$D8*'05_Params'!$B$4*POWER(1+$G8,'05_Params'!$B$15/12)*MIN($E8,'05_Params'!$B$15*30.44)*(1+$F8)</f>
        <v/>
      </c>
      <c r="K8" s="54">
        <f>$C8+$D8*'05_Params'!$B$4*POWER(1+$G8,'05_Params'!$B$16/12)*MIN($E8,'05_Params'!$B$16*30.44)*(1+$F8)</f>
        <v/>
      </c>
      <c r="L8" s="98">
        <f>IFERROR(INDEX('05_Params'!$G$4:$G$23,COUNTIF('05_Params'!$G$4:$G$23,"&lt;"&amp;K8/(1-'05_Params'!$B$8))+1),CEILING(K8/(1-'05_Params'!$B$8),64))</f>
        <v/>
      </c>
      <c r="M8" s="99" t="inlineStr">
        <is>
          <t>ปริมาณข้อมูลน้อย ไม่ต้องมีนโยบายเฉพาะ — รวมอยู่ใน Disk OS ได้</t>
        </is>
      </c>
    </row>
    <row r="9" ht="34" customHeight="1">
      <c r="A9" s="95" t="inlineStr">
        <is>
          <t>opa-conftest</t>
        </is>
      </c>
      <c r="B9" s="96" t="inlineStr">
        <is>
          <t>Open Policy Agent / Conftest (Policy-as-Code Gate)</t>
        </is>
      </c>
      <c r="C9" s="95" t="n">
        <v>5</v>
      </c>
      <c r="D9" s="95" t="n">
        <v>0.01</v>
      </c>
      <c r="E9" s="95" t="n">
        <v>90</v>
      </c>
      <c r="F9" s="97" t="n">
        <v>0.05</v>
      </c>
      <c r="G9" s="97" t="n">
        <v>0.1</v>
      </c>
      <c r="H9" s="54">
        <f>$C9+$D9*'05_Params'!$B$4*POWER(1+$G9,'05_Params'!$B$13/12)*MIN($E9,'05_Params'!$B$13*30.44)*(1+$F9)</f>
        <v/>
      </c>
      <c r="I9" s="54">
        <f>$C9+$D9*'05_Params'!$B$4*POWER(1+$G9,'05_Params'!$B$14/12)*MIN($E9,'05_Params'!$B$14*30.44)*(1+$F9)</f>
        <v/>
      </c>
      <c r="J9" s="54">
        <f>$C9+$D9*'05_Params'!$B$4*POWER(1+$G9,'05_Params'!$B$15/12)*MIN($E9,'05_Params'!$B$15*30.44)*(1+$F9)</f>
        <v/>
      </c>
      <c r="K9" s="54">
        <f>$C9+$D9*'05_Params'!$B$4*POWER(1+$G9,'05_Params'!$B$16/12)*MIN($E9,'05_Params'!$B$16*30.44)*(1+$F9)</f>
        <v/>
      </c>
      <c r="L9" s="98">
        <f>IFERROR(INDEX('05_Params'!$G$4:$G$23,COUNTIF('05_Params'!$G$4:$G$23,"&lt;"&amp;K9/(1-'05_Params'!$B$8))+1),CEILING(K9/(1-'05_Params'!$B$8),64))</f>
        <v/>
      </c>
      <c r="M9" s="99" t="inlineStr">
        <is>
          <t>ปริมาณข้อมูลน้อย ไม่ต้องมีนโยบายเฉพาะ — รวมอยู่ใน Disk OS ได้</t>
        </is>
      </c>
    </row>
    <row r="10" ht="34" customHeight="1">
      <c r="A10" s="95" t="inlineStr">
        <is>
          <t>nginx-gateway</t>
        </is>
      </c>
      <c r="B10" s="96" t="inlineStr">
        <is>
          <t>Nginx (Reverse Proxy / Webhook Relay)</t>
        </is>
      </c>
      <c r="C10" s="95" t="n">
        <v>10</v>
      </c>
      <c r="D10" s="95" t="n">
        <v>0.1</v>
      </c>
      <c r="E10" s="95" t="n">
        <v>90</v>
      </c>
      <c r="F10" s="97" t="n">
        <v>0.1</v>
      </c>
      <c r="G10" s="97" t="n">
        <v>0.2</v>
      </c>
      <c r="H10" s="54">
        <f>$C10+$D10*'05_Params'!$B$4*POWER(1+$G10,'05_Params'!$B$13/12)*MIN($E10,'05_Params'!$B$13*30.44)*(1+$F10)</f>
        <v/>
      </c>
      <c r="I10" s="54">
        <f>$C10+$D10*'05_Params'!$B$4*POWER(1+$G10,'05_Params'!$B$14/12)*MIN($E10,'05_Params'!$B$14*30.44)*(1+$F10)</f>
        <v/>
      </c>
      <c r="J10" s="54">
        <f>$C10+$D10*'05_Params'!$B$4*POWER(1+$G10,'05_Params'!$B$15/12)*MIN($E10,'05_Params'!$B$15*30.44)*(1+$F10)</f>
        <v/>
      </c>
      <c r="K10" s="54">
        <f>$C10+$D10*'05_Params'!$B$4*POWER(1+$G10,'05_Params'!$B$16/12)*MIN($E10,'05_Params'!$B$16*30.44)*(1+$F10)</f>
        <v/>
      </c>
      <c r="L10" s="98">
        <f>IFERROR(INDEX('05_Params'!$G$4:$G$23,COUNTIF('05_Params'!$G$4:$G$23,"&lt;"&amp;K10/(1-'05_Params'!$B$8))+1),CEILING(K10/(1-'05_Params'!$B$8),64))</f>
        <v/>
      </c>
      <c r="M10" s="99" t="inlineStr">
        <is>
          <t>ปริมาณข้อมูลน้อย ไม่ต้องมีนโยบายเฉพาะ — รวมอยู่ใน Disk OS ได้</t>
        </is>
      </c>
    </row>
    <row r="11" ht="34" customHeight="1">
      <c r="A11" s="100" t="inlineStr">
        <is>
          <t>sonarqube</t>
        </is>
      </c>
      <c r="B11" s="101" t="inlineStr">
        <is>
          <t>SonarQube Community Edition</t>
        </is>
      </c>
      <c r="C11" s="100" t="n">
        <v>30</v>
      </c>
      <c r="D11" s="100" t="n">
        <v>0.1</v>
      </c>
      <c r="E11" s="100" t="n">
        <v>365</v>
      </c>
      <c r="F11" s="102" t="n">
        <v>0.3</v>
      </c>
      <c r="G11" s="102" t="n">
        <v>0.2</v>
      </c>
      <c r="H11" s="60">
        <f>$C11+$D11*'05_Params'!$B$4*POWER(1+$G11,'05_Params'!$B$13/12)*MIN($E11,'05_Params'!$B$13*30.44)*(1+$F11)</f>
        <v/>
      </c>
      <c r="I11" s="60">
        <f>$C11+$D11*'05_Params'!$B$4*POWER(1+$G11,'05_Params'!$B$14/12)*MIN($E11,'05_Params'!$B$14*30.44)*(1+$F11)</f>
        <v/>
      </c>
      <c r="J11" s="60">
        <f>$C11+$D11*'05_Params'!$B$4*POWER(1+$G11,'05_Params'!$B$15/12)*MIN($E11,'05_Params'!$B$15*30.44)*(1+$F11)</f>
        <v/>
      </c>
      <c r="K11" s="60">
        <f>$C11+$D11*'05_Params'!$B$4*POWER(1+$G11,'05_Params'!$B$16/12)*MIN($E11,'05_Params'!$B$16*30.44)*(1+$F11)</f>
        <v/>
      </c>
      <c r="L11" s="98">
        <f>IFERROR(INDEX('05_Params'!$G$4:$G$23,COUNTIF('05_Params'!$G$4:$G$23,"&lt;"&amp;K11/(1-'05_Params'!$B$8))+1),CEILING(K11/(1-'05_Params'!$B$8),64))</f>
        <v/>
      </c>
      <c r="M11" s="99" t="inlineStr">
        <is>
          <t>ตั้ง Housekeeping: ลบ snapshot ที่เก่ากว่า 30 วัน, เก็บเฉพาะ analysis ของ branch หลัก</t>
        </is>
      </c>
    </row>
    <row r="12" ht="34" customHeight="1">
      <c r="A12" s="100" t="inlineStr">
        <is>
          <t>postgresql-tools</t>
        </is>
      </c>
      <c r="B12" s="101" t="inlineStr">
        <is>
          <t>PostgreSQL (ฐานข้อมูลของเครื่องมือ CI/CD)</t>
        </is>
      </c>
      <c r="C12" s="100" t="n">
        <v>20</v>
      </c>
      <c r="D12" s="100" t="n">
        <v>0.05</v>
      </c>
      <c r="E12" s="100" t="n">
        <v>2555</v>
      </c>
      <c r="F12" s="102" t="n">
        <v>0.35</v>
      </c>
      <c r="G12" s="102" t="n">
        <v>0.2</v>
      </c>
      <c r="H12" s="60">
        <f>$C12+$D12*'05_Params'!$B$4*POWER(1+$G12,'05_Params'!$B$13/12)*MIN($E12,'05_Params'!$B$13*30.44)*(1+$F12)</f>
        <v/>
      </c>
      <c r="I12" s="60">
        <f>$C12+$D12*'05_Params'!$B$4*POWER(1+$G12,'05_Params'!$B$14/12)*MIN($E12,'05_Params'!$B$14*30.44)*(1+$F12)</f>
        <v/>
      </c>
      <c r="J12" s="60">
        <f>$C12+$D12*'05_Params'!$B$4*POWER(1+$G12,'05_Params'!$B$15/12)*MIN($E12,'05_Params'!$B$15*30.44)*(1+$F12)</f>
        <v/>
      </c>
      <c r="K12" s="60">
        <f>$C12+$D12*'05_Params'!$B$4*POWER(1+$G12,'05_Params'!$B$16/12)*MIN($E12,'05_Params'!$B$16*30.44)*(1+$F12)</f>
        <v/>
      </c>
      <c r="L12" s="98">
        <f>IFERROR(INDEX('05_Params'!$G$4:$G$23,COUNTIF('05_Params'!$G$4:$G$23,"&lt;"&amp;K12/(1-'05_Params'!$B$8))+1),CEILING(K12/(1-'05_Params'!$B$8),64))</f>
        <v/>
      </c>
      <c r="M12" s="99" t="inlineStr">
        <is>
          <t>ตั้ง partition ตารางที่โตเร็วเป็นรายเดือน + archive ไป MinIO เมื่อเกิน 1 ปี (Audit Trail ภาครัฐต้องเก็บ 7 ปีแต่ไม่จำเป็นต้องอยู่ใน DB หลัก)</t>
        </is>
      </c>
    </row>
    <row r="13" ht="34" customHeight="1">
      <c r="A13" s="100" t="inlineStr">
        <is>
          <t>semgrep</t>
        </is>
      </c>
      <c r="B13" s="101" t="inlineStr">
        <is>
          <t>Semgrep (SAST แบบ Rule-based)</t>
        </is>
      </c>
      <c r="C13" s="100" t="n">
        <v>5</v>
      </c>
      <c r="D13" s="100" t="n">
        <v>0.02</v>
      </c>
      <c r="E13" s="100" t="n">
        <v>180</v>
      </c>
      <c r="F13" s="102" t="n">
        <v>0.05</v>
      </c>
      <c r="G13" s="102" t="n">
        <v>0.15</v>
      </c>
      <c r="H13" s="60">
        <f>$C13+$D13*'05_Params'!$B$4*POWER(1+$G13,'05_Params'!$B$13/12)*MIN($E13,'05_Params'!$B$13*30.44)*(1+$F13)</f>
        <v/>
      </c>
      <c r="I13" s="60">
        <f>$C13+$D13*'05_Params'!$B$4*POWER(1+$G13,'05_Params'!$B$14/12)*MIN($E13,'05_Params'!$B$14*30.44)*(1+$F13)</f>
        <v/>
      </c>
      <c r="J13" s="60">
        <f>$C13+$D13*'05_Params'!$B$4*POWER(1+$G13,'05_Params'!$B$15/12)*MIN($E13,'05_Params'!$B$15*30.44)*(1+$F13)</f>
        <v/>
      </c>
      <c r="K13" s="60">
        <f>$C13+$D13*'05_Params'!$B$4*POWER(1+$G13,'05_Params'!$B$16/12)*MIN($E13,'05_Params'!$B$16*30.44)*(1+$F13)</f>
        <v/>
      </c>
      <c r="L13" s="98">
        <f>IFERROR(INDEX('05_Params'!$G$4:$G$23,COUNTIF('05_Params'!$G$4:$G$23,"&lt;"&amp;K13/(1-'05_Params'!$B$8))+1),CEILING(K13/(1-'05_Params'!$B$8),64))</f>
        <v/>
      </c>
      <c r="M13" s="99" t="inlineStr">
        <is>
          <t>ปริมาณข้อมูลน้อย ไม่ต้องมีนโยบายเฉพาะ — รวมอยู่ใน Disk OS ได้</t>
        </is>
      </c>
    </row>
    <row r="14" ht="34" customHeight="1">
      <c r="A14" s="100" t="inlineStr">
        <is>
          <t>gitleaks</t>
        </is>
      </c>
      <c r="B14" s="101" t="inlineStr">
        <is>
          <t>GitLeaks / TruffleHog (Secret Scanning)</t>
        </is>
      </c>
      <c r="C14" s="100" t="n">
        <v>3</v>
      </c>
      <c r="D14" s="100" t="n">
        <v>0.01</v>
      </c>
      <c r="E14" s="100" t="n">
        <v>365</v>
      </c>
      <c r="F14" s="102" t="n">
        <v>0.05</v>
      </c>
      <c r="G14" s="102" t="n">
        <v>0.1</v>
      </c>
      <c r="H14" s="60">
        <f>$C14+$D14*'05_Params'!$B$4*POWER(1+$G14,'05_Params'!$B$13/12)*MIN($E14,'05_Params'!$B$13*30.44)*(1+$F14)</f>
        <v/>
      </c>
      <c r="I14" s="60">
        <f>$C14+$D14*'05_Params'!$B$4*POWER(1+$G14,'05_Params'!$B$14/12)*MIN($E14,'05_Params'!$B$14*30.44)*(1+$F14)</f>
        <v/>
      </c>
      <c r="J14" s="60">
        <f>$C14+$D14*'05_Params'!$B$4*POWER(1+$G14,'05_Params'!$B$15/12)*MIN($E14,'05_Params'!$B$15*30.44)*(1+$F14)</f>
        <v/>
      </c>
      <c r="K14" s="60">
        <f>$C14+$D14*'05_Params'!$B$4*POWER(1+$G14,'05_Params'!$B$16/12)*MIN($E14,'05_Params'!$B$16*30.44)*(1+$F14)</f>
        <v/>
      </c>
      <c r="L14" s="98">
        <f>IFERROR(INDEX('05_Params'!$G$4:$G$23,COUNTIF('05_Params'!$G$4:$G$23,"&lt;"&amp;K14/(1-'05_Params'!$B$8))+1),CEILING(K14/(1-'05_Params'!$B$8),64))</f>
        <v/>
      </c>
      <c r="M14" s="99" t="inlineStr">
        <is>
          <t>ปริมาณข้อมูลน้อย ไม่ต้องมีนโยบายเฉพาะ — รวมอยู่ใน Disk OS ได้</t>
        </is>
      </c>
    </row>
    <row r="15" ht="34" customHeight="1">
      <c r="A15" s="100" t="inlineStr">
        <is>
          <t>dependency-check</t>
        </is>
      </c>
      <c r="B15" s="101" t="inlineStr">
        <is>
          <t>OWASP Dependency-Check (SCA)</t>
        </is>
      </c>
      <c r="C15" s="100" t="n">
        <v>15</v>
      </c>
      <c r="D15" s="100" t="n">
        <v>0.05</v>
      </c>
      <c r="E15" s="100" t="n">
        <v>365</v>
      </c>
      <c r="F15" s="102" t="n">
        <v>0.1</v>
      </c>
      <c r="G15" s="102" t="n">
        <v>0.15</v>
      </c>
      <c r="H15" s="60">
        <f>$C15+$D15*'05_Params'!$B$4*POWER(1+$G15,'05_Params'!$B$13/12)*MIN($E15,'05_Params'!$B$13*30.44)*(1+$F15)</f>
        <v/>
      </c>
      <c r="I15" s="60">
        <f>$C15+$D15*'05_Params'!$B$4*POWER(1+$G15,'05_Params'!$B$14/12)*MIN($E15,'05_Params'!$B$14*30.44)*(1+$F15)</f>
        <v/>
      </c>
      <c r="J15" s="60">
        <f>$C15+$D15*'05_Params'!$B$4*POWER(1+$G15,'05_Params'!$B$15/12)*MIN($E15,'05_Params'!$B$15*30.44)*(1+$F15)</f>
        <v/>
      </c>
      <c r="K15" s="60">
        <f>$C15+$D15*'05_Params'!$B$4*POWER(1+$G15,'05_Params'!$B$16/12)*MIN($E15,'05_Params'!$B$16*30.44)*(1+$F15)</f>
        <v/>
      </c>
      <c r="L15" s="98">
        <f>IFERROR(INDEX('05_Params'!$G$4:$G$23,COUNTIF('05_Params'!$G$4:$G$23,"&lt;"&amp;K15/(1-'05_Params'!$B$8))+1),CEILING(K15/(1-'05_Params'!$B$8),64))</f>
        <v/>
      </c>
      <c r="M15" s="99" t="inlineStr">
        <is>
          <t>ปริมาณข้อมูลน้อย ไม่ต้องมีนโยบายเฉพาะ — รวมอยู่ใน Disk OS ได้</t>
        </is>
      </c>
    </row>
    <row r="16" ht="34" customHeight="1">
      <c r="A16" s="100" t="inlineStr">
        <is>
          <t>trivy</t>
        </is>
      </c>
      <c r="B16" s="101" t="inlineStr">
        <is>
          <t>Trivy (SCA + Container + IaC + Secret ในตัวเดียว)</t>
        </is>
      </c>
      <c r="C16" s="100" t="n">
        <v>10</v>
      </c>
      <c r="D16" s="100" t="n">
        <v>0.03</v>
      </c>
      <c r="E16" s="100" t="n">
        <v>365</v>
      </c>
      <c r="F16" s="102" t="n">
        <v>0.05</v>
      </c>
      <c r="G16" s="102" t="n">
        <v>0.15</v>
      </c>
      <c r="H16" s="60">
        <f>$C16+$D16*'05_Params'!$B$4*POWER(1+$G16,'05_Params'!$B$13/12)*MIN($E16,'05_Params'!$B$13*30.44)*(1+$F16)</f>
        <v/>
      </c>
      <c r="I16" s="60">
        <f>$C16+$D16*'05_Params'!$B$4*POWER(1+$G16,'05_Params'!$B$14/12)*MIN($E16,'05_Params'!$B$14*30.44)*(1+$F16)</f>
        <v/>
      </c>
      <c r="J16" s="60">
        <f>$C16+$D16*'05_Params'!$B$4*POWER(1+$G16,'05_Params'!$B$15/12)*MIN($E16,'05_Params'!$B$15*30.44)*(1+$F16)</f>
        <v/>
      </c>
      <c r="K16" s="60">
        <f>$C16+$D16*'05_Params'!$B$4*POWER(1+$G16,'05_Params'!$B$16/12)*MIN($E16,'05_Params'!$B$16*30.44)*(1+$F16)</f>
        <v/>
      </c>
      <c r="L16" s="98">
        <f>IFERROR(INDEX('05_Params'!$G$4:$G$23,COUNTIF('05_Params'!$G$4:$G$23,"&lt;"&amp;K16/(1-'05_Params'!$B$8))+1),CEILING(K16/(1-'05_Params'!$B$8),64))</f>
        <v/>
      </c>
      <c r="M16" s="99" t="inlineStr">
        <is>
          <t>ปริมาณข้อมูลน้อย ไม่ต้องมีนโยบายเฉพาะ — รวมอยู่ใน Disk OS ได้</t>
        </is>
      </c>
    </row>
    <row r="17" ht="34" customHeight="1">
      <c r="A17" s="100" t="inlineStr">
        <is>
          <t>fossology</t>
        </is>
      </c>
      <c r="B17" s="101" t="inlineStr">
        <is>
          <t>FOSSology / ScanCode (License Compliance)</t>
        </is>
      </c>
      <c r="C17" s="100" t="n">
        <v>30</v>
      </c>
      <c r="D17" s="100" t="n">
        <v>0.05</v>
      </c>
      <c r="E17" s="100" t="n">
        <v>730</v>
      </c>
      <c r="F17" s="102" t="n">
        <v>0.2</v>
      </c>
      <c r="G17" s="102" t="n">
        <v>0.1</v>
      </c>
      <c r="H17" s="60">
        <f>$C17+$D17*'05_Params'!$B$4*POWER(1+$G17,'05_Params'!$B$13/12)*MIN($E17,'05_Params'!$B$13*30.44)*(1+$F17)</f>
        <v/>
      </c>
      <c r="I17" s="60">
        <f>$C17+$D17*'05_Params'!$B$4*POWER(1+$G17,'05_Params'!$B$14/12)*MIN($E17,'05_Params'!$B$14*30.44)*(1+$F17)</f>
        <v/>
      </c>
      <c r="J17" s="60">
        <f>$C17+$D17*'05_Params'!$B$4*POWER(1+$G17,'05_Params'!$B$15/12)*MIN($E17,'05_Params'!$B$15*30.44)*(1+$F17)</f>
        <v/>
      </c>
      <c r="K17" s="60">
        <f>$C17+$D17*'05_Params'!$B$4*POWER(1+$G17,'05_Params'!$B$16/12)*MIN($E17,'05_Params'!$B$16*30.44)*(1+$F17)</f>
        <v/>
      </c>
      <c r="L17" s="98">
        <f>IFERROR(INDEX('05_Params'!$G$4:$G$23,COUNTIF('05_Params'!$G$4:$G$23,"&lt;"&amp;K17/(1-'05_Params'!$B$8))+1),CEILING(K17/(1-'05_Params'!$B$8),64))</f>
        <v/>
      </c>
      <c r="M17" s="99" t="inlineStr">
        <is>
          <t>ปริมาณข้อมูลน้อย ไม่ต้องมีนโยบายเฉพาะ — รวมอยู่ใน Disk OS ได้</t>
        </is>
      </c>
    </row>
    <row r="18" ht="34" customHeight="1">
      <c r="A18" s="100" t="inlineStr">
        <is>
          <t>linters</t>
        </is>
      </c>
      <c r="B18" s="101" t="inlineStr">
        <is>
          <t>Linters (ESLint / Pylint / golangci-lint / RuboCop)</t>
        </is>
      </c>
      <c r="C18" s="100" t="n">
        <v>3</v>
      </c>
      <c r="D18" s="100" t="n">
        <v>0.01</v>
      </c>
      <c r="E18" s="100" t="n">
        <v>90</v>
      </c>
      <c r="F18" s="102" t="n">
        <v>0.05</v>
      </c>
      <c r="G18" s="102" t="n">
        <v>0.1</v>
      </c>
      <c r="H18" s="60">
        <f>$C18+$D18*'05_Params'!$B$4*POWER(1+$G18,'05_Params'!$B$13/12)*MIN($E18,'05_Params'!$B$13*30.44)*(1+$F18)</f>
        <v/>
      </c>
      <c r="I18" s="60">
        <f>$C18+$D18*'05_Params'!$B$4*POWER(1+$G18,'05_Params'!$B$14/12)*MIN($E18,'05_Params'!$B$14*30.44)*(1+$F18)</f>
        <v/>
      </c>
      <c r="J18" s="60">
        <f>$C18+$D18*'05_Params'!$B$4*POWER(1+$G18,'05_Params'!$B$15/12)*MIN($E18,'05_Params'!$B$15*30.44)*(1+$F18)</f>
        <v/>
      </c>
      <c r="K18" s="60">
        <f>$C18+$D18*'05_Params'!$B$4*POWER(1+$G18,'05_Params'!$B$16/12)*MIN($E18,'05_Params'!$B$16*30.44)*(1+$F18)</f>
        <v/>
      </c>
      <c r="L18" s="98">
        <f>IFERROR(INDEX('05_Params'!$G$4:$G$23,COUNTIF('05_Params'!$G$4:$G$23,"&lt;"&amp;K18/(1-'05_Params'!$B$8))+1),CEILING(K18/(1-'05_Params'!$B$8),64))</f>
        <v/>
      </c>
      <c r="M18" s="99" t="inlineStr">
        <is>
          <t>ปริมาณข้อมูลน้อย ไม่ต้องมีนโยบายเฉพาะ — รวมอยู่ใน Disk OS ได้</t>
        </is>
      </c>
    </row>
    <row r="19" ht="34" customHeight="1">
      <c r="A19" s="103" t="inlineStr">
        <is>
          <t>maven-gradle</t>
        </is>
      </c>
      <c r="B19" s="104" t="inlineStr">
        <is>
          <t>Maven / Gradle / npm / pip (Build &amp; Compilation)</t>
        </is>
      </c>
      <c r="C19" s="103" t="n">
        <v>40</v>
      </c>
      <c r="D19" s="103" t="n">
        <v>0.3</v>
      </c>
      <c r="E19" s="103" t="n">
        <v>30</v>
      </c>
      <c r="F19" s="105" t="n">
        <v>0.05</v>
      </c>
      <c r="G19" s="105" t="n">
        <v>0.2</v>
      </c>
      <c r="H19" s="64">
        <f>$C19+$D19*'05_Params'!$B$4*POWER(1+$G19,'05_Params'!$B$13/12)*MIN($E19,'05_Params'!$B$13*30.44)*(1+$F19)</f>
        <v/>
      </c>
      <c r="I19" s="64">
        <f>$C19+$D19*'05_Params'!$B$4*POWER(1+$G19,'05_Params'!$B$14/12)*MIN($E19,'05_Params'!$B$14*30.44)*(1+$F19)</f>
        <v/>
      </c>
      <c r="J19" s="64">
        <f>$C19+$D19*'05_Params'!$B$4*POWER(1+$G19,'05_Params'!$B$15/12)*MIN($E19,'05_Params'!$B$15*30.44)*(1+$F19)</f>
        <v/>
      </c>
      <c r="K19" s="64">
        <f>$C19+$D19*'05_Params'!$B$4*POWER(1+$G19,'05_Params'!$B$16/12)*MIN($E19,'05_Params'!$B$16*30.44)*(1+$F19)</f>
        <v/>
      </c>
      <c r="L19" s="98">
        <f>IFERROR(INDEX('05_Params'!$G$4:$G$23,COUNTIF('05_Params'!$G$4:$G$23,"&lt;"&amp;K19/(1-'05_Params'!$B$8))+1),CEILING(K19/(1-'05_Params'!$B$8),64))</f>
        <v/>
      </c>
      <c r="M19" s="99" t="inlineStr">
        <is>
          <t>ปริมาณข้อมูลน้อย ไม่ต้องมีนโยบายเฉพาะ — รวมอยู่ใน Disk OS ได้</t>
        </is>
      </c>
    </row>
    <row r="20" ht="34" customHeight="1">
      <c r="A20" s="103" t="inlineStr">
        <is>
          <t>docker-buildkit</t>
        </is>
      </c>
      <c r="B20" s="104" t="inlineStr">
        <is>
          <t>Docker Engine / BuildKit (Container Image Builder)</t>
        </is>
      </c>
      <c r="C20" s="103" t="n">
        <v>100</v>
      </c>
      <c r="D20" s="103" t="n">
        <v>2</v>
      </c>
      <c r="E20" s="103" t="n">
        <v>21</v>
      </c>
      <c r="F20" s="105" t="n">
        <v>0.1</v>
      </c>
      <c r="G20" s="105" t="n">
        <v>0.2</v>
      </c>
      <c r="H20" s="64">
        <f>$C20+$D20*'05_Params'!$B$4*POWER(1+$G20,'05_Params'!$B$13/12)*MIN($E20,'05_Params'!$B$13*30.44)*(1+$F20)</f>
        <v/>
      </c>
      <c r="I20" s="64">
        <f>$C20+$D20*'05_Params'!$B$4*POWER(1+$G20,'05_Params'!$B$14/12)*MIN($E20,'05_Params'!$B$14*30.44)*(1+$F20)</f>
        <v/>
      </c>
      <c r="J20" s="64">
        <f>$C20+$D20*'05_Params'!$B$4*POWER(1+$G20,'05_Params'!$B$15/12)*MIN($E20,'05_Params'!$B$15*30.44)*(1+$F20)</f>
        <v/>
      </c>
      <c r="K20" s="64">
        <f>$C20+$D20*'05_Params'!$B$4*POWER(1+$G20,'05_Params'!$B$16/12)*MIN($E20,'05_Params'!$B$16*30.44)*(1+$F20)</f>
        <v/>
      </c>
      <c r="L20" s="98">
        <f>IFERROR(INDEX('05_Params'!$G$4:$G$23,COUNTIF('05_Params'!$G$4:$G$23,"&lt;"&amp;K20/(1-'05_Params'!$B$8))+1),CEILING(K20/(1-'05_Params'!$B$8),64))</f>
        <v/>
      </c>
      <c r="M20" s="99" t="inlineStr">
        <is>
          <t>ตั้ง cron `docker system prune -af --filter until=336h` และจำกัด BuildKit cache ด้วย --max-used-space</t>
        </is>
      </c>
    </row>
    <row r="21" ht="34" customHeight="1">
      <c r="A21" s="103" t="inlineStr">
        <is>
          <t>checkov</t>
        </is>
      </c>
      <c r="B21" s="104" t="inlineStr">
        <is>
          <t>Checkov / tfsec / KubeLinter (IaC Validation)</t>
        </is>
      </c>
      <c r="C21" s="103" t="n">
        <v>5</v>
      </c>
      <c r="D21" s="103" t="n">
        <v>0.01</v>
      </c>
      <c r="E21" s="103" t="n">
        <v>365</v>
      </c>
      <c r="F21" s="105" t="n">
        <v>0.05</v>
      </c>
      <c r="G21" s="105" t="n">
        <v>0.1</v>
      </c>
      <c r="H21" s="64">
        <f>$C21+$D21*'05_Params'!$B$4*POWER(1+$G21,'05_Params'!$B$13/12)*MIN($E21,'05_Params'!$B$13*30.44)*(1+$F21)</f>
        <v/>
      </c>
      <c r="I21" s="64">
        <f>$C21+$D21*'05_Params'!$B$4*POWER(1+$G21,'05_Params'!$B$14/12)*MIN($E21,'05_Params'!$B$14*30.44)*(1+$F21)</f>
        <v/>
      </c>
      <c r="J21" s="64">
        <f>$C21+$D21*'05_Params'!$B$4*POWER(1+$G21,'05_Params'!$B$15/12)*MIN($E21,'05_Params'!$B$15*30.44)*(1+$F21)</f>
        <v/>
      </c>
      <c r="K21" s="64">
        <f>$C21+$D21*'05_Params'!$B$4*POWER(1+$G21,'05_Params'!$B$16/12)*MIN($E21,'05_Params'!$B$16*30.44)*(1+$F21)</f>
        <v/>
      </c>
      <c r="L21" s="98">
        <f>IFERROR(INDEX('05_Params'!$G$4:$G$23,COUNTIF('05_Params'!$G$4:$G$23,"&lt;"&amp;K21/(1-'05_Params'!$B$8))+1),CEILING(K21/(1-'05_Params'!$B$8),64))</f>
        <v/>
      </c>
      <c r="M21" s="99" t="inlineStr">
        <is>
          <t>ปริมาณข้อมูลน้อย ไม่ต้องมีนโยบายเฉพาะ — รวมอยู่ใน Disk OS ได้</t>
        </is>
      </c>
    </row>
    <row r="22" ht="34" customHeight="1">
      <c r="A22" s="103" t="inlineStr">
        <is>
          <t>cosign</t>
        </is>
      </c>
      <c r="B22" s="104" t="inlineStr">
        <is>
          <t>Sigstore Cosign / Notary v2 (Artifact Signing)</t>
        </is>
      </c>
      <c r="C22" s="103" t="n">
        <v>5</v>
      </c>
      <c r="D22" s="103" t="n">
        <v>0.01</v>
      </c>
      <c r="E22" s="103" t="n">
        <v>2555</v>
      </c>
      <c r="F22" s="105" t="n">
        <v>0.05</v>
      </c>
      <c r="G22" s="105" t="n">
        <v>0.1</v>
      </c>
      <c r="H22" s="64">
        <f>$C22+$D22*'05_Params'!$B$4*POWER(1+$G22,'05_Params'!$B$13/12)*MIN($E22,'05_Params'!$B$13*30.44)*(1+$F22)</f>
        <v/>
      </c>
      <c r="I22" s="64">
        <f>$C22+$D22*'05_Params'!$B$4*POWER(1+$G22,'05_Params'!$B$14/12)*MIN($E22,'05_Params'!$B$14*30.44)*(1+$F22)</f>
        <v/>
      </c>
      <c r="J22" s="64">
        <f>$C22+$D22*'05_Params'!$B$4*POWER(1+$G22,'05_Params'!$B$15/12)*MIN($E22,'05_Params'!$B$15*30.44)*(1+$F22)</f>
        <v/>
      </c>
      <c r="K22" s="64">
        <f>$C22+$D22*'05_Params'!$B$4*POWER(1+$G22,'05_Params'!$B$16/12)*MIN($E22,'05_Params'!$B$16*30.44)*(1+$F22)</f>
        <v/>
      </c>
      <c r="L22" s="98">
        <f>IFERROR(INDEX('05_Params'!$G$4:$G$23,COUNTIF('05_Params'!$G$4:$G$23,"&lt;"&amp;K22/(1-'05_Params'!$B$8))+1),CEILING(K22/(1-'05_Params'!$B$8),64))</f>
        <v/>
      </c>
      <c r="M22" s="99" t="inlineStr">
        <is>
          <t>ปริมาณข้อมูลน้อย ไม่ต้องมีนโยบายเฉพาะ — รวมอยู่ใน Disk OS ได้</t>
        </is>
      </c>
    </row>
    <row r="23" ht="34" customHeight="1">
      <c r="A23" s="103" t="inlineStr">
        <is>
          <t>syft</t>
        </is>
      </c>
      <c r="B23" s="104" t="inlineStr">
        <is>
          <t>Syft / CycloneDX CLI (SBOM Generation)</t>
        </is>
      </c>
      <c r="C23" s="103" t="n">
        <v>5</v>
      </c>
      <c r="D23" s="103" t="n">
        <v>0.02</v>
      </c>
      <c r="E23" s="103" t="n">
        <v>2555</v>
      </c>
      <c r="F23" s="105" t="n">
        <v>0.05</v>
      </c>
      <c r="G23" s="105" t="n">
        <v>0.15</v>
      </c>
      <c r="H23" s="64">
        <f>$C23+$D23*'05_Params'!$B$4*POWER(1+$G23,'05_Params'!$B$13/12)*MIN($E23,'05_Params'!$B$13*30.44)*(1+$F23)</f>
        <v/>
      </c>
      <c r="I23" s="64">
        <f>$C23+$D23*'05_Params'!$B$4*POWER(1+$G23,'05_Params'!$B$14/12)*MIN($E23,'05_Params'!$B$14*30.44)*(1+$F23)</f>
        <v/>
      </c>
      <c r="J23" s="64">
        <f>$C23+$D23*'05_Params'!$B$4*POWER(1+$G23,'05_Params'!$B$15/12)*MIN($E23,'05_Params'!$B$15*30.44)*(1+$F23)</f>
        <v/>
      </c>
      <c r="K23" s="64">
        <f>$C23+$D23*'05_Params'!$B$4*POWER(1+$G23,'05_Params'!$B$16/12)*MIN($E23,'05_Params'!$B$16*30.44)*(1+$F23)</f>
        <v/>
      </c>
      <c r="L23" s="98">
        <f>IFERROR(INDEX('05_Params'!$G$4:$G$23,COUNTIF('05_Params'!$G$4:$G$23,"&lt;"&amp;K23/(1-'05_Params'!$B$8))+1),CEILING(K23/(1-'05_Params'!$B$8),64))</f>
        <v/>
      </c>
      <c r="M23" s="99" t="inlineStr">
        <is>
          <t>ปริมาณข้อมูลน้อย ไม่ต้องมีนโยบายเฉพาะ — รวมอยู่ใน Disk OS ได้</t>
        </is>
      </c>
    </row>
    <row r="24" ht="34" customHeight="1">
      <c r="A24" s="106" t="inlineStr">
        <is>
          <t>unit-test-runner</t>
        </is>
      </c>
      <c r="B24" s="107" t="inlineStr">
        <is>
          <t>pytest / Jest / JUnit / Go test (Unit Test)</t>
        </is>
      </c>
      <c r="C24" s="106" t="n">
        <v>20</v>
      </c>
      <c r="D24" s="106" t="n">
        <v>0.1</v>
      </c>
      <c r="E24" s="106" t="n">
        <v>90</v>
      </c>
      <c r="F24" s="108" t="n">
        <v>0.05</v>
      </c>
      <c r="G24" s="108" t="n">
        <v>0.15</v>
      </c>
      <c r="H24" s="68">
        <f>$C24+$D24*'05_Params'!$B$4*POWER(1+$G24,'05_Params'!$B$13/12)*MIN($E24,'05_Params'!$B$13*30.44)*(1+$F24)</f>
        <v/>
      </c>
      <c r="I24" s="68">
        <f>$C24+$D24*'05_Params'!$B$4*POWER(1+$G24,'05_Params'!$B$14/12)*MIN($E24,'05_Params'!$B$14*30.44)*(1+$F24)</f>
        <v/>
      </c>
      <c r="J24" s="68">
        <f>$C24+$D24*'05_Params'!$B$4*POWER(1+$G24,'05_Params'!$B$15/12)*MIN($E24,'05_Params'!$B$15*30.44)*(1+$F24)</f>
        <v/>
      </c>
      <c r="K24" s="68">
        <f>$C24+$D24*'05_Params'!$B$4*POWER(1+$G24,'05_Params'!$B$16/12)*MIN($E24,'05_Params'!$B$16*30.44)*(1+$F24)</f>
        <v/>
      </c>
      <c r="L24" s="98">
        <f>IFERROR(INDEX('05_Params'!$G$4:$G$23,COUNTIF('05_Params'!$G$4:$G$23,"&lt;"&amp;K24/(1-'05_Params'!$B$8))+1),CEILING(K24/(1-'05_Params'!$B$8),64))</f>
        <v/>
      </c>
      <c r="M24" s="99" t="inlineStr">
        <is>
          <t>ปริมาณข้อมูลน้อย ไม่ต้องมีนโยบายเฉพาะ — รวมอยู่ใน Disk OS ได้</t>
        </is>
      </c>
    </row>
    <row r="25" ht="34" customHeight="1">
      <c r="A25" s="106" t="inlineStr">
        <is>
          <t>testcontainers</t>
        </is>
      </c>
      <c r="B25" s="107" t="inlineStr">
        <is>
          <t>Testcontainers / WireMock / Pact (Integration Test)</t>
        </is>
      </c>
      <c r="C25" s="106" t="n">
        <v>40</v>
      </c>
      <c r="D25" s="106" t="n">
        <v>0.15</v>
      </c>
      <c r="E25" s="106" t="n">
        <v>90</v>
      </c>
      <c r="F25" s="108" t="n">
        <v>0.05</v>
      </c>
      <c r="G25" s="108" t="n">
        <v>0.15</v>
      </c>
      <c r="H25" s="68">
        <f>$C25+$D25*'05_Params'!$B$4*POWER(1+$G25,'05_Params'!$B$13/12)*MIN($E25,'05_Params'!$B$13*30.44)*(1+$F25)</f>
        <v/>
      </c>
      <c r="I25" s="68">
        <f>$C25+$D25*'05_Params'!$B$4*POWER(1+$G25,'05_Params'!$B$14/12)*MIN($E25,'05_Params'!$B$14*30.44)*(1+$F25)</f>
        <v/>
      </c>
      <c r="J25" s="68">
        <f>$C25+$D25*'05_Params'!$B$4*POWER(1+$G25,'05_Params'!$B$15/12)*MIN($E25,'05_Params'!$B$15*30.44)*(1+$F25)</f>
        <v/>
      </c>
      <c r="K25" s="68">
        <f>$C25+$D25*'05_Params'!$B$4*POWER(1+$G25,'05_Params'!$B$16/12)*MIN($E25,'05_Params'!$B$16*30.44)*(1+$F25)</f>
        <v/>
      </c>
      <c r="L25" s="98">
        <f>IFERROR(INDEX('05_Params'!$G$4:$G$23,COUNTIF('05_Params'!$G$4:$G$23,"&lt;"&amp;K25/(1-'05_Params'!$B$8))+1),CEILING(K25/(1-'05_Params'!$B$8),64))</f>
        <v/>
      </c>
      <c r="M25" s="99" t="inlineStr">
        <is>
          <t>ปริมาณข้อมูลน้อย ไม่ต้องมีนโยบายเฉพาะ — รวมอยู่ใน Disk OS ได้</t>
        </is>
      </c>
    </row>
    <row r="26" ht="34" customHeight="1">
      <c r="A26" s="106" t="inlineStr">
        <is>
          <t>owasp-zap</t>
        </is>
      </c>
      <c r="B26" s="107" t="inlineStr">
        <is>
          <t>OWASP ZAP (DAST + API Security)</t>
        </is>
      </c>
      <c r="C26" s="106" t="n">
        <v>20</v>
      </c>
      <c r="D26" s="106" t="n">
        <v>0.15</v>
      </c>
      <c r="E26" s="106" t="n">
        <v>730</v>
      </c>
      <c r="F26" s="108" t="n">
        <v>0.1</v>
      </c>
      <c r="G26" s="108" t="n">
        <v>0.15</v>
      </c>
      <c r="H26" s="68">
        <f>$C26+$D26*'05_Params'!$B$4*POWER(1+$G26,'05_Params'!$B$13/12)*MIN($E26,'05_Params'!$B$13*30.44)*(1+$F26)</f>
        <v/>
      </c>
      <c r="I26" s="68">
        <f>$C26+$D26*'05_Params'!$B$4*POWER(1+$G26,'05_Params'!$B$14/12)*MIN($E26,'05_Params'!$B$14*30.44)*(1+$F26)</f>
        <v/>
      </c>
      <c r="J26" s="68">
        <f>$C26+$D26*'05_Params'!$B$4*POWER(1+$G26,'05_Params'!$B$15/12)*MIN($E26,'05_Params'!$B$15*30.44)*(1+$F26)</f>
        <v/>
      </c>
      <c r="K26" s="68">
        <f>$C26+$D26*'05_Params'!$B$4*POWER(1+$G26,'05_Params'!$B$16/12)*MIN($E26,'05_Params'!$B$16*30.44)*(1+$F26)</f>
        <v/>
      </c>
      <c r="L26" s="98">
        <f>IFERROR(INDEX('05_Params'!$G$4:$G$23,COUNTIF('05_Params'!$G$4:$G$23,"&lt;"&amp;K26/(1-'05_Params'!$B$8))+1),CEILING(K26/(1-'05_Params'!$B$8),64))</f>
        <v/>
      </c>
      <c r="M26" s="99" t="inlineStr">
        <is>
          <t>เก็บเฉพาะไฟล์รายงาน (HTML/JSON) ไม่เก็บ session file (.session) ที่ใหญ่หลาย GB</t>
        </is>
      </c>
    </row>
    <row r="27" ht="34" customHeight="1">
      <c r="A27" s="106" t="inlineStr">
        <is>
          <t>nuclei</t>
        </is>
      </c>
      <c r="B27" s="107" t="inlineStr">
        <is>
          <t>Nuclei (Template-based Vulnerability Scan)</t>
        </is>
      </c>
      <c r="C27" s="106" t="n">
        <v>10</v>
      </c>
      <c r="D27" s="106" t="n">
        <v>0.05</v>
      </c>
      <c r="E27" s="106" t="n">
        <v>365</v>
      </c>
      <c r="F27" s="108" t="n">
        <v>0.05</v>
      </c>
      <c r="G27" s="108" t="n">
        <v>0.15</v>
      </c>
      <c r="H27" s="68">
        <f>$C27+$D27*'05_Params'!$B$4*POWER(1+$G27,'05_Params'!$B$13/12)*MIN($E27,'05_Params'!$B$13*30.44)*(1+$F27)</f>
        <v/>
      </c>
      <c r="I27" s="68">
        <f>$C27+$D27*'05_Params'!$B$4*POWER(1+$G27,'05_Params'!$B$14/12)*MIN($E27,'05_Params'!$B$14*30.44)*(1+$F27)</f>
        <v/>
      </c>
      <c r="J27" s="68">
        <f>$C27+$D27*'05_Params'!$B$4*POWER(1+$G27,'05_Params'!$B$15/12)*MIN($E27,'05_Params'!$B$15*30.44)*(1+$F27)</f>
        <v/>
      </c>
      <c r="K27" s="68">
        <f>$C27+$D27*'05_Params'!$B$4*POWER(1+$G27,'05_Params'!$B$16/12)*MIN($E27,'05_Params'!$B$16*30.44)*(1+$F27)</f>
        <v/>
      </c>
      <c r="L27" s="98">
        <f>IFERROR(INDEX('05_Params'!$G$4:$G$23,COUNTIF('05_Params'!$G$4:$G$23,"&lt;"&amp;K27/(1-'05_Params'!$B$8))+1),CEILING(K27/(1-'05_Params'!$B$8),64))</f>
        <v/>
      </c>
      <c r="M27" s="99" t="inlineStr">
        <is>
          <t>ปริมาณข้อมูลน้อย ไม่ต้องมีนโยบายเฉพาะ — รวมอยู่ใน Disk OS ได้</t>
        </is>
      </c>
    </row>
    <row r="28" ht="34" customHeight="1">
      <c r="A28" s="106" t="inlineStr">
        <is>
          <t>locust</t>
        </is>
      </c>
      <c r="B28" s="107" t="inlineStr">
        <is>
          <t>Locust (Performance / Load Test)</t>
        </is>
      </c>
      <c r="C28" s="106" t="n">
        <v>20</v>
      </c>
      <c r="D28" s="106" t="n">
        <v>0.05</v>
      </c>
      <c r="E28" s="106" t="n">
        <v>365</v>
      </c>
      <c r="F28" s="108" t="n">
        <v>0.1</v>
      </c>
      <c r="G28" s="108" t="n">
        <v>0.15</v>
      </c>
      <c r="H28" s="68">
        <f>$C28+$D28*'05_Params'!$B$4*POWER(1+$G28,'05_Params'!$B$13/12)*MIN($E28,'05_Params'!$B$13*30.44)*(1+$F28)</f>
        <v/>
      </c>
      <c r="I28" s="68">
        <f>$C28+$D28*'05_Params'!$B$4*POWER(1+$G28,'05_Params'!$B$14/12)*MIN($E28,'05_Params'!$B$14*30.44)*(1+$F28)</f>
        <v/>
      </c>
      <c r="J28" s="68">
        <f>$C28+$D28*'05_Params'!$B$4*POWER(1+$G28,'05_Params'!$B$15/12)*MIN($E28,'05_Params'!$B$15*30.44)*(1+$F28)</f>
        <v/>
      </c>
      <c r="K28" s="68">
        <f>$C28+$D28*'05_Params'!$B$4*POWER(1+$G28,'05_Params'!$B$16/12)*MIN($E28,'05_Params'!$B$16*30.44)*(1+$F28)</f>
        <v/>
      </c>
      <c r="L28" s="98">
        <f>IFERROR(INDEX('05_Params'!$G$4:$G$23,COUNTIF('05_Params'!$G$4:$G$23,"&lt;"&amp;K28/(1-'05_Params'!$B$8))+1),CEILING(K28/(1-'05_Params'!$B$8),64))</f>
        <v/>
      </c>
      <c r="M28" s="99" t="inlineStr">
        <is>
          <t>ปริมาณข้อมูลน้อย ไม่ต้องมีนโยบายเฉพาะ — รวมอยู่ใน Disk OS ได้</t>
        </is>
      </c>
    </row>
    <row r="29" ht="34" customHeight="1">
      <c r="A29" s="106" t="inlineStr">
        <is>
          <t>playwright-a11y</t>
        </is>
      </c>
      <c r="B29" s="107" t="inlineStr">
        <is>
          <t>Playwright + axe-core / pa11y-ci / Lighthouse CI (Accessibility)</t>
        </is>
      </c>
      <c r="C29" s="106" t="n">
        <v>15</v>
      </c>
      <c r="D29" s="106" t="n">
        <v>0.05</v>
      </c>
      <c r="E29" s="106" t="n">
        <v>365</v>
      </c>
      <c r="F29" s="108" t="n">
        <v>0.05</v>
      </c>
      <c r="G29" s="108" t="n">
        <v>0.1</v>
      </c>
      <c r="H29" s="68">
        <f>$C29+$D29*'05_Params'!$B$4*POWER(1+$G29,'05_Params'!$B$13/12)*MIN($E29,'05_Params'!$B$13*30.44)*(1+$F29)</f>
        <v/>
      </c>
      <c r="I29" s="68">
        <f>$C29+$D29*'05_Params'!$B$4*POWER(1+$G29,'05_Params'!$B$14/12)*MIN($E29,'05_Params'!$B$14*30.44)*(1+$F29)</f>
        <v/>
      </c>
      <c r="J29" s="68">
        <f>$C29+$D29*'05_Params'!$B$4*POWER(1+$G29,'05_Params'!$B$15/12)*MIN($E29,'05_Params'!$B$15*30.44)*(1+$F29)</f>
        <v/>
      </c>
      <c r="K29" s="68">
        <f>$C29+$D29*'05_Params'!$B$4*POWER(1+$G29,'05_Params'!$B$16/12)*MIN($E29,'05_Params'!$B$16*30.44)*(1+$F29)</f>
        <v/>
      </c>
      <c r="L29" s="98">
        <f>IFERROR(INDEX('05_Params'!$G$4:$G$23,COUNTIF('05_Params'!$G$4:$G$23,"&lt;"&amp;K29/(1-'05_Params'!$B$8))+1),CEILING(K29/(1-'05_Params'!$B$8),64))</f>
        <v/>
      </c>
      <c r="M29" s="99" t="inlineStr">
        <is>
          <t>ปริมาณข้อมูลน้อย ไม่ต้องมีนโยบายเฉพาะ — รวมอยู่ใน Disk OS ได้</t>
        </is>
      </c>
    </row>
    <row r="30" ht="34" customHeight="1">
      <c r="A30" s="106" t="inlineStr">
        <is>
          <t>testssl</t>
        </is>
      </c>
      <c r="B30" s="107" t="inlineStr">
        <is>
          <t>testssl.sh / sslyze / CBOMkit (TLS + Crypto Inventory)</t>
        </is>
      </c>
      <c r="C30" s="106" t="n">
        <v>5</v>
      </c>
      <c r="D30" s="106" t="n">
        <v>0.01</v>
      </c>
      <c r="E30" s="106" t="n">
        <v>365</v>
      </c>
      <c r="F30" s="108" t="n">
        <v>0.05</v>
      </c>
      <c r="G30" s="108" t="n">
        <v>0.1</v>
      </c>
      <c r="H30" s="68">
        <f>$C30+$D30*'05_Params'!$B$4*POWER(1+$G30,'05_Params'!$B$13/12)*MIN($E30,'05_Params'!$B$13*30.44)*(1+$F30)</f>
        <v/>
      </c>
      <c r="I30" s="68">
        <f>$C30+$D30*'05_Params'!$B$4*POWER(1+$G30,'05_Params'!$B$14/12)*MIN($E30,'05_Params'!$B$14*30.44)*(1+$F30)</f>
        <v/>
      </c>
      <c r="J30" s="68">
        <f>$C30+$D30*'05_Params'!$B$4*POWER(1+$G30,'05_Params'!$B$15/12)*MIN($E30,'05_Params'!$B$15*30.44)*(1+$F30)</f>
        <v/>
      </c>
      <c r="K30" s="68">
        <f>$C30+$D30*'05_Params'!$B$4*POWER(1+$G30,'05_Params'!$B$16/12)*MIN($E30,'05_Params'!$B$16*30.44)*(1+$F30)</f>
        <v/>
      </c>
      <c r="L30" s="98">
        <f>IFERROR(INDEX('05_Params'!$G$4:$G$23,COUNTIF('05_Params'!$G$4:$G$23,"&lt;"&amp;K30/(1-'05_Params'!$B$8))+1),CEILING(K30/(1-'05_Params'!$B$8),64))</f>
        <v/>
      </c>
      <c r="M30" s="99" t="inlineStr">
        <is>
          <t>ปริมาณข้อมูลน้อย ไม่ต้องมีนโยบายเฉพาะ — รวมอยู่ใน Disk OS ได้</t>
        </is>
      </c>
    </row>
    <row r="31" ht="34" customHeight="1">
      <c r="A31" s="109" t="inlineStr">
        <is>
          <t>harbor</t>
        </is>
      </c>
      <c r="B31" s="110" t="inlineStr">
        <is>
          <t>Harbor (Private Container Registry, CNCF Graduated)</t>
        </is>
      </c>
      <c r="C31" s="109" t="n">
        <v>60</v>
      </c>
      <c r="D31" s="109" t="n">
        <v>1</v>
      </c>
      <c r="E31" s="109" t="n">
        <v>180</v>
      </c>
      <c r="F31" s="111" t="n">
        <v>0.2</v>
      </c>
      <c r="G31" s="111" t="n">
        <v>0.25</v>
      </c>
      <c r="H31" s="72">
        <f>$C31+$D31*'05_Params'!$B$4*POWER(1+$G31,'05_Params'!$B$13/12)*MIN($E31,'05_Params'!$B$13*30.44)*(1+$F31)</f>
        <v/>
      </c>
      <c r="I31" s="72">
        <f>$C31+$D31*'05_Params'!$B$4*POWER(1+$G31,'05_Params'!$B$14/12)*MIN($E31,'05_Params'!$B$14*30.44)*(1+$F31)</f>
        <v/>
      </c>
      <c r="J31" s="72">
        <f>$C31+$D31*'05_Params'!$B$4*POWER(1+$G31,'05_Params'!$B$15/12)*MIN($E31,'05_Params'!$B$15*30.44)*(1+$F31)</f>
        <v/>
      </c>
      <c r="K31" s="72">
        <f>$C31+$D31*'05_Params'!$B$4*POWER(1+$G31,'05_Params'!$B$16/12)*MIN($E31,'05_Params'!$B$16*30.44)*(1+$F31)</f>
        <v/>
      </c>
      <c r="L31" s="98">
        <f>IFERROR(INDEX('05_Params'!$G$4:$G$23,COUNTIF('05_Params'!$G$4:$G$23,"&lt;"&amp;K31/(1-'05_Params'!$B$8))+1),CEILING(K31/(1-'05_Params'!$B$8),64))</f>
        <v/>
      </c>
      <c r="M31" s="99" t="inlineStr">
        <is>
          <t>ตั้ง Tag Retention Policy (เก็บ 10 tag ล่าสุดต่อ repo) + เปิด Garbage Collection รายสัปดาห์</t>
        </is>
      </c>
    </row>
    <row r="32" ht="34" customHeight="1">
      <c r="A32" s="109" t="inlineStr">
        <is>
          <t>minio</t>
        </is>
      </c>
      <c r="B32" s="110" t="inlineStr">
        <is>
          <t>MinIO (S3-compatible Object Storage)</t>
        </is>
      </c>
      <c r="C32" s="109" t="n">
        <v>20</v>
      </c>
      <c r="D32" s="109" t="n">
        <v>1</v>
      </c>
      <c r="E32" s="109" t="n">
        <v>180</v>
      </c>
      <c r="F32" s="111" t="n">
        <v>0.15</v>
      </c>
      <c r="G32" s="111" t="n">
        <v>0.25</v>
      </c>
      <c r="H32" s="72">
        <f>$C32+$D32*'05_Params'!$B$4*POWER(1+$G32,'05_Params'!$B$13/12)*MIN($E32,'05_Params'!$B$13*30.44)*(1+$F32)</f>
        <v/>
      </c>
      <c r="I32" s="72">
        <f>$C32+$D32*'05_Params'!$B$4*POWER(1+$G32,'05_Params'!$B$14/12)*MIN($E32,'05_Params'!$B$14*30.44)*(1+$F32)</f>
        <v/>
      </c>
      <c r="J32" s="72">
        <f>$C32+$D32*'05_Params'!$B$4*POWER(1+$G32,'05_Params'!$B$15/12)*MIN($E32,'05_Params'!$B$15*30.44)*(1+$F32)</f>
        <v/>
      </c>
      <c r="K32" s="72">
        <f>$C32+$D32*'05_Params'!$B$4*POWER(1+$G32,'05_Params'!$B$16/12)*MIN($E32,'05_Params'!$B$16*30.44)*(1+$F32)</f>
        <v/>
      </c>
      <c r="L32" s="98">
        <f>IFERROR(INDEX('05_Params'!$G$4:$G$23,COUNTIF('05_Params'!$G$4:$G$23,"&lt;"&amp;K32/(1-'05_Params'!$B$8))+1),CEILING(K32/(1-'05_Params'!$B$8),64))</f>
        <v/>
      </c>
      <c r="M32" s="99" t="inlineStr">
        <is>
          <t>ตั้ง Object Lifecycle: ลบ artifact ที่ไม่ใช่ release เมื่อครบ 30-90 วัน; เปิด Versioning เฉพาะ bucket ที่จำเป็น เพราะ version เก่ากินที่เท่าตัว</t>
        </is>
      </c>
    </row>
    <row r="33" ht="34" customHeight="1">
      <c r="A33" s="109" t="inlineStr">
        <is>
          <t>elasticsearch</t>
        </is>
      </c>
      <c r="B33" s="110" t="inlineStr">
        <is>
          <t>Elasticsearch (Log / Audit Trail Index)</t>
        </is>
      </c>
      <c r="C33" s="109" t="n">
        <v>40</v>
      </c>
      <c r="D33" s="109" t="n">
        <v>1.5</v>
      </c>
      <c r="E33" s="109" t="n">
        <v>90</v>
      </c>
      <c r="F33" s="111" t="n">
        <v>0.45</v>
      </c>
      <c r="G33" s="111" t="n">
        <v>0.3</v>
      </c>
      <c r="H33" s="72">
        <f>$C33+$D33*'05_Params'!$B$4*POWER(1+$G33,'05_Params'!$B$13/12)*MIN($E33,'05_Params'!$B$13*30.44)*(1+$F33)</f>
        <v/>
      </c>
      <c r="I33" s="72">
        <f>$C33+$D33*'05_Params'!$B$4*POWER(1+$G33,'05_Params'!$B$14/12)*MIN($E33,'05_Params'!$B$14*30.44)*(1+$F33)</f>
        <v/>
      </c>
      <c r="J33" s="72">
        <f>$C33+$D33*'05_Params'!$B$4*POWER(1+$G33,'05_Params'!$B$15/12)*MIN($E33,'05_Params'!$B$15*30.44)*(1+$F33)</f>
        <v/>
      </c>
      <c r="K33" s="72">
        <f>$C33+$D33*'05_Params'!$B$4*POWER(1+$G33,'05_Params'!$B$16/12)*MIN($E33,'05_Params'!$B$16*30.44)*(1+$F33)</f>
        <v/>
      </c>
      <c r="L33" s="98">
        <f>IFERROR(INDEX('05_Params'!$G$4:$G$23,COUNTIF('05_Params'!$G$4:$G$23,"&lt;"&amp;K33/(1-'05_Params'!$B$8))+1),CEILING(K33/(1-'05_Params'!$B$8),64))</f>
        <v/>
      </c>
      <c r="M33" s="99" t="inlineStr">
        <is>
          <t>ตั้ง ILM Policy: hot 7 วัน -&gt; warm 30 วัน -&gt; delete ที่ 90 วัน (ตามมาตรฐานขั้นต่ำ 2566); เปิด best_compression; แยก index ต่อวันเพื่อลบเป็นก้อน</t>
        </is>
      </c>
    </row>
    <row r="34" ht="34" customHeight="1">
      <c r="A34" s="109" t="inlineStr">
        <is>
          <t>logstash</t>
        </is>
      </c>
      <c r="B34" s="110" t="inlineStr">
        <is>
          <t>Logstash (Log Pipeline / Parser)</t>
        </is>
      </c>
      <c r="C34" s="109" t="n">
        <v>15</v>
      </c>
      <c r="D34" s="109" t="n">
        <v>0.1</v>
      </c>
      <c r="E34" s="109" t="n">
        <v>30</v>
      </c>
      <c r="F34" s="111" t="n">
        <v>0.05</v>
      </c>
      <c r="G34" s="111" t="n">
        <v>0.2</v>
      </c>
      <c r="H34" s="72">
        <f>$C34+$D34*'05_Params'!$B$4*POWER(1+$G34,'05_Params'!$B$13/12)*MIN($E34,'05_Params'!$B$13*30.44)*(1+$F34)</f>
        <v/>
      </c>
      <c r="I34" s="72">
        <f>$C34+$D34*'05_Params'!$B$4*POWER(1+$G34,'05_Params'!$B$14/12)*MIN($E34,'05_Params'!$B$14*30.44)*(1+$F34)</f>
        <v/>
      </c>
      <c r="J34" s="72">
        <f>$C34+$D34*'05_Params'!$B$4*POWER(1+$G34,'05_Params'!$B$15/12)*MIN($E34,'05_Params'!$B$15*30.44)*(1+$F34)</f>
        <v/>
      </c>
      <c r="K34" s="72">
        <f>$C34+$D34*'05_Params'!$B$4*POWER(1+$G34,'05_Params'!$B$16/12)*MIN($E34,'05_Params'!$B$16*30.44)*(1+$F34)</f>
        <v/>
      </c>
      <c r="L34" s="98">
        <f>IFERROR(INDEX('05_Params'!$G$4:$G$23,COUNTIF('05_Params'!$G$4:$G$23,"&lt;"&amp;K34/(1-'05_Params'!$B$8))+1),CEILING(K34/(1-'05_Params'!$B$8),64))</f>
        <v/>
      </c>
      <c r="M34" s="99" t="inlineStr">
        <is>
          <t>ปริมาณข้อมูลน้อย ไม่ต้องมีนโยบายเฉพาะ — รวมอยู่ใน Disk OS ได้</t>
        </is>
      </c>
    </row>
    <row r="35" ht="34" customHeight="1">
      <c r="A35" s="109" t="inlineStr">
        <is>
          <t>kibana</t>
        </is>
      </c>
      <c r="B35" s="110" t="inlineStr">
        <is>
          <t>Kibana (Log Visualization / Audit Review)</t>
        </is>
      </c>
      <c r="C35" s="109" t="n">
        <v>10</v>
      </c>
      <c r="D35" s="109" t="n">
        <v>0.05</v>
      </c>
      <c r="E35" s="109" t="n">
        <v>90</v>
      </c>
      <c r="F35" s="111" t="n">
        <v>0.05</v>
      </c>
      <c r="G35" s="111" t="n">
        <v>0.15</v>
      </c>
      <c r="H35" s="72">
        <f>$C35+$D35*'05_Params'!$B$4*POWER(1+$G35,'05_Params'!$B$13/12)*MIN($E35,'05_Params'!$B$13*30.44)*(1+$F35)</f>
        <v/>
      </c>
      <c r="I35" s="72">
        <f>$C35+$D35*'05_Params'!$B$4*POWER(1+$G35,'05_Params'!$B$14/12)*MIN($E35,'05_Params'!$B$14*30.44)*(1+$F35)</f>
        <v/>
      </c>
      <c r="J35" s="72">
        <f>$C35+$D35*'05_Params'!$B$4*POWER(1+$G35,'05_Params'!$B$15/12)*MIN($E35,'05_Params'!$B$15*30.44)*(1+$F35)</f>
        <v/>
      </c>
      <c r="K35" s="72">
        <f>$C35+$D35*'05_Params'!$B$4*POWER(1+$G35,'05_Params'!$B$16/12)*MIN($E35,'05_Params'!$B$16*30.44)*(1+$F35)</f>
        <v/>
      </c>
      <c r="L35" s="98">
        <f>IFERROR(INDEX('05_Params'!$G$4:$G$23,COUNTIF('05_Params'!$G$4:$G$23,"&lt;"&amp;K35/(1-'05_Params'!$B$8))+1),CEILING(K35/(1-'05_Params'!$B$8),64))</f>
        <v/>
      </c>
      <c r="M35" s="99" t="inlineStr">
        <is>
          <t>ปริมาณข้อมูลน้อย ไม่ต้องมีนโยบายเฉพาะ — รวมอยู่ใน Disk OS ได้</t>
        </is>
      </c>
    </row>
    <row r="36" ht="34" customHeight="1">
      <c r="A36" s="109" t="inlineStr">
        <is>
          <t>filebeat</t>
        </is>
      </c>
      <c r="B36" s="110" t="inlineStr">
        <is>
          <t>Filebeat (Log Shipper ต่อเครื่อง)</t>
        </is>
      </c>
      <c r="C36" s="109" t="n">
        <v>5</v>
      </c>
      <c r="D36" s="109" t="n">
        <v>0.02</v>
      </c>
      <c r="E36" s="109" t="n">
        <v>7</v>
      </c>
      <c r="F36" s="111" t="n">
        <v>0.05</v>
      </c>
      <c r="G36" s="111" t="n">
        <v>0.2</v>
      </c>
      <c r="H36" s="72">
        <f>$C36+$D36*'05_Params'!$B$4*POWER(1+$G36,'05_Params'!$B$13/12)*MIN($E36,'05_Params'!$B$13*30.44)*(1+$F36)</f>
        <v/>
      </c>
      <c r="I36" s="72">
        <f>$C36+$D36*'05_Params'!$B$4*POWER(1+$G36,'05_Params'!$B$14/12)*MIN($E36,'05_Params'!$B$14*30.44)*(1+$F36)</f>
        <v/>
      </c>
      <c r="J36" s="72">
        <f>$C36+$D36*'05_Params'!$B$4*POWER(1+$G36,'05_Params'!$B$15/12)*MIN($E36,'05_Params'!$B$15*30.44)*(1+$F36)</f>
        <v/>
      </c>
      <c r="K36" s="72">
        <f>$C36+$D36*'05_Params'!$B$4*POWER(1+$G36,'05_Params'!$B$16/12)*MIN($E36,'05_Params'!$B$16*30.44)*(1+$F36)</f>
        <v/>
      </c>
      <c r="L36" s="98">
        <f>IFERROR(INDEX('05_Params'!$G$4:$G$23,COUNTIF('05_Params'!$G$4:$G$23,"&lt;"&amp;K36/(1-'05_Params'!$B$8))+1),CEILING(K36/(1-'05_Params'!$B$8),64))</f>
        <v/>
      </c>
      <c r="M36" s="99" t="inlineStr">
        <is>
          <t>ปริมาณข้อมูลน้อย ไม่ต้องมีนโยบายเฉพาะ — รวมอยู่ใน Disk OS ได้</t>
        </is>
      </c>
    </row>
    <row r="37" ht="34" customHeight="1">
      <c r="A37" s="109" t="inlineStr">
        <is>
          <t>wazuh</t>
        </is>
      </c>
      <c r="B37" s="110" t="inlineStr">
        <is>
          <t>Wazuh (SIEM / HIDS + Alerting)</t>
        </is>
      </c>
      <c r="C37" s="109" t="n">
        <v>50</v>
      </c>
      <c r="D37" s="109" t="n">
        <v>1</v>
      </c>
      <c r="E37" s="109" t="n">
        <v>90</v>
      </c>
      <c r="F37" s="111" t="n">
        <v>0.4</v>
      </c>
      <c r="G37" s="111" t="n">
        <v>0.3</v>
      </c>
      <c r="H37" s="72">
        <f>$C37+$D37*'05_Params'!$B$4*POWER(1+$G37,'05_Params'!$B$13/12)*MIN($E37,'05_Params'!$B$13*30.44)*(1+$F37)</f>
        <v/>
      </c>
      <c r="I37" s="72">
        <f>$C37+$D37*'05_Params'!$B$4*POWER(1+$G37,'05_Params'!$B$14/12)*MIN($E37,'05_Params'!$B$14*30.44)*(1+$F37)</f>
        <v/>
      </c>
      <c r="J37" s="72">
        <f>$C37+$D37*'05_Params'!$B$4*POWER(1+$G37,'05_Params'!$B$15/12)*MIN($E37,'05_Params'!$B$15*30.44)*(1+$F37)</f>
        <v/>
      </c>
      <c r="K37" s="72">
        <f>$C37+$D37*'05_Params'!$B$4*POWER(1+$G37,'05_Params'!$B$16/12)*MIN($E37,'05_Params'!$B$16*30.44)*(1+$F37)</f>
        <v/>
      </c>
      <c r="L37" s="98">
        <f>IFERROR(INDEX('05_Params'!$G$4:$G$23,COUNTIF('05_Params'!$G$4:$G$23,"&lt;"&amp;K37/(1-'05_Params'!$B$8))+1),CEILING(K37/(1-'05_Params'!$B$8),64))</f>
        <v/>
      </c>
      <c r="M37" s="99" t="inlineStr">
        <is>
          <t>ตั้ง ISM Policy บน Wazuh Indexer + ปิด rule ที่สร้าง event มากเกินจำเป็น</t>
        </is>
      </c>
    </row>
    <row r="38" ht="34" customHeight="1">
      <c r="A38" s="109" t="inlineStr">
        <is>
          <t>vault</t>
        </is>
      </c>
      <c r="B38" s="110" t="inlineStr">
        <is>
          <t>HashiCorp Vault / OpenBao (Secret Management)</t>
        </is>
      </c>
      <c r="C38" s="109" t="n">
        <v>20</v>
      </c>
      <c r="D38" s="109" t="n">
        <v>0.05</v>
      </c>
      <c r="E38" s="109" t="n">
        <v>2555</v>
      </c>
      <c r="F38" s="111" t="n">
        <v>0.1</v>
      </c>
      <c r="G38" s="111" t="n">
        <v>0.15</v>
      </c>
      <c r="H38" s="72">
        <f>$C38+$D38*'05_Params'!$B$4*POWER(1+$G38,'05_Params'!$B$13/12)*MIN($E38,'05_Params'!$B$13*30.44)*(1+$F38)</f>
        <v/>
      </c>
      <c r="I38" s="72">
        <f>$C38+$D38*'05_Params'!$B$4*POWER(1+$G38,'05_Params'!$B$14/12)*MIN($E38,'05_Params'!$B$14*30.44)*(1+$F38)</f>
        <v/>
      </c>
      <c r="J38" s="72">
        <f>$C38+$D38*'05_Params'!$B$4*POWER(1+$G38,'05_Params'!$B$15/12)*MIN($E38,'05_Params'!$B$15*30.44)*(1+$F38)</f>
        <v/>
      </c>
      <c r="K38" s="72">
        <f>$C38+$D38*'05_Params'!$B$4*POWER(1+$G38,'05_Params'!$B$16/12)*MIN($E38,'05_Params'!$B$16*30.44)*(1+$F38)</f>
        <v/>
      </c>
      <c r="L38" s="98">
        <f>IFERROR(INDEX('05_Params'!$G$4:$G$23,COUNTIF('05_Params'!$G$4:$G$23,"&lt;"&amp;K38/(1-'05_Params'!$B$8))+1),CEILING(K38/(1-'05_Params'!$B$8),64))</f>
        <v/>
      </c>
      <c r="M38" s="99" t="inlineStr">
        <is>
          <t>ปริมาณข้อมูลน้อย ไม่ต้องมีนโยบายเฉพาะ — รวมอยู่ใน Disk OS ได้</t>
        </is>
      </c>
    </row>
    <row r="39" ht="34" customHeight="1">
      <c r="A39" s="112" t="inlineStr">
        <is>
          <t>k3s-control</t>
        </is>
      </c>
      <c r="B39" s="113" t="inlineStr">
        <is>
          <t>Kubernetes / K3s Control Plane (ต่อ 1 Node)</t>
        </is>
      </c>
      <c r="C39" s="112" t="n">
        <v>40</v>
      </c>
      <c r="D39" s="112" t="n">
        <v>0.3</v>
      </c>
      <c r="E39" s="112" t="n">
        <v>90</v>
      </c>
      <c r="F39" s="114" t="n">
        <v>0.15</v>
      </c>
      <c r="G39" s="114" t="n">
        <v>0.2</v>
      </c>
      <c r="H39" s="76">
        <f>$C39+$D39*'05_Params'!$B$4*POWER(1+$G39,'05_Params'!$B$13/12)*MIN($E39,'05_Params'!$B$13*30.44)*(1+$F39)</f>
        <v/>
      </c>
      <c r="I39" s="76">
        <f>$C39+$D39*'05_Params'!$B$4*POWER(1+$G39,'05_Params'!$B$14/12)*MIN($E39,'05_Params'!$B$14*30.44)*(1+$F39)</f>
        <v/>
      </c>
      <c r="J39" s="76">
        <f>$C39+$D39*'05_Params'!$B$4*POWER(1+$G39,'05_Params'!$B$15/12)*MIN($E39,'05_Params'!$B$15*30.44)*(1+$F39)</f>
        <v/>
      </c>
      <c r="K39" s="76">
        <f>$C39+$D39*'05_Params'!$B$4*POWER(1+$G39,'05_Params'!$B$16/12)*MIN($E39,'05_Params'!$B$16*30.44)*(1+$F39)</f>
        <v/>
      </c>
      <c r="L39" s="98">
        <f>IFERROR(INDEX('05_Params'!$G$4:$G$23,COUNTIF('05_Params'!$G$4:$G$23,"&lt;"&amp;K39/(1-'05_Params'!$B$8))+1),CEILING(K39/(1-'05_Params'!$B$8),64))</f>
        <v/>
      </c>
      <c r="M39" s="99" t="inlineStr">
        <is>
          <t>ปริมาณข้อมูลน้อย ไม่ต้องมีนโยบายเฉพาะ — รวมอยู่ใน Disk OS ได้</t>
        </is>
      </c>
    </row>
    <row r="40" ht="34" customHeight="1">
      <c r="A40" s="112" t="inlineStr">
        <is>
          <t>argocd</t>
        </is>
      </c>
      <c r="B40" s="113" t="inlineStr">
        <is>
          <t>Argo CD / Flux (GitOps Continuous Delivery)</t>
        </is>
      </c>
      <c r="C40" s="112" t="n">
        <v>20</v>
      </c>
      <c r="D40" s="112" t="n">
        <v>0.1</v>
      </c>
      <c r="E40" s="112" t="n">
        <v>365</v>
      </c>
      <c r="F40" s="114" t="n">
        <v>0.1</v>
      </c>
      <c r="G40" s="114" t="n">
        <v>0.15</v>
      </c>
      <c r="H40" s="76">
        <f>$C40+$D40*'05_Params'!$B$4*POWER(1+$G40,'05_Params'!$B$13/12)*MIN($E40,'05_Params'!$B$13*30.44)*(1+$F40)</f>
        <v/>
      </c>
      <c r="I40" s="76">
        <f>$C40+$D40*'05_Params'!$B$4*POWER(1+$G40,'05_Params'!$B$14/12)*MIN($E40,'05_Params'!$B$14*30.44)*(1+$F40)</f>
        <v/>
      </c>
      <c r="J40" s="76">
        <f>$C40+$D40*'05_Params'!$B$4*POWER(1+$G40,'05_Params'!$B$15/12)*MIN($E40,'05_Params'!$B$15*30.44)*(1+$F40)</f>
        <v/>
      </c>
      <c r="K40" s="76">
        <f>$C40+$D40*'05_Params'!$B$4*POWER(1+$G40,'05_Params'!$B$16/12)*MIN($E40,'05_Params'!$B$16*30.44)*(1+$F40)</f>
        <v/>
      </c>
      <c r="L40" s="98">
        <f>IFERROR(INDEX('05_Params'!$G$4:$G$23,COUNTIF('05_Params'!$G$4:$G$23,"&lt;"&amp;K40/(1-'05_Params'!$B$8))+1),CEILING(K40/(1-'05_Params'!$B$8),64))</f>
        <v/>
      </c>
      <c r="M40" s="99" t="inlineStr">
        <is>
          <t>ปริมาณข้อมูลน้อย ไม่ต้องมีนโยบายเฉพาะ — รวมอยู่ใน Disk OS ได้</t>
        </is>
      </c>
    </row>
    <row r="41" ht="34" customHeight="1">
      <c r="A41" s="112" t="inlineStr">
        <is>
          <t>falco</t>
        </is>
      </c>
      <c r="B41" s="113" t="inlineStr">
        <is>
          <t>Falco (Runtime Security Monitoring, ต่อ Node)</t>
        </is>
      </c>
      <c r="C41" s="112" t="n">
        <v>10</v>
      </c>
      <c r="D41" s="112" t="n">
        <v>0.3</v>
      </c>
      <c r="E41" s="112" t="n">
        <v>90</v>
      </c>
      <c r="F41" s="114" t="n">
        <v>0.2</v>
      </c>
      <c r="G41" s="114" t="n">
        <v>0.25</v>
      </c>
      <c r="H41" s="76">
        <f>$C41+$D41*'05_Params'!$B$4*POWER(1+$G41,'05_Params'!$B$13/12)*MIN($E41,'05_Params'!$B$13*30.44)*(1+$F41)</f>
        <v/>
      </c>
      <c r="I41" s="76">
        <f>$C41+$D41*'05_Params'!$B$4*POWER(1+$G41,'05_Params'!$B$14/12)*MIN($E41,'05_Params'!$B$14*30.44)*(1+$F41)</f>
        <v/>
      </c>
      <c r="J41" s="76">
        <f>$C41+$D41*'05_Params'!$B$4*POWER(1+$G41,'05_Params'!$B$15/12)*MIN($E41,'05_Params'!$B$15*30.44)*(1+$F41)</f>
        <v/>
      </c>
      <c r="K41" s="76">
        <f>$C41+$D41*'05_Params'!$B$4*POWER(1+$G41,'05_Params'!$B$16/12)*MIN($E41,'05_Params'!$B$16*30.44)*(1+$F41)</f>
        <v/>
      </c>
      <c r="L41" s="98">
        <f>IFERROR(INDEX('05_Params'!$G$4:$G$23,COUNTIF('05_Params'!$G$4:$G$23,"&lt;"&amp;K41/(1-'05_Params'!$B$8))+1),CEILING(K41/(1-'05_Params'!$B$8),64))</f>
        <v/>
      </c>
      <c r="M41" s="99" t="inlineStr">
        <is>
          <t>ปรับ rule ให้แคบก่อน production ไม่งั้น event flood ทำให้ Elasticsearch โตเกินประเมิน</t>
        </is>
      </c>
    </row>
    <row r="42" ht="34" customHeight="1">
      <c r="A42" s="112" t="inlineStr">
        <is>
          <t>prometheus</t>
        </is>
      </c>
      <c r="B42" s="113" t="inlineStr">
        <is>
          <t>Prometheus (Metrics &amp; Alerting)</t>
        </is>
      </c>
      <c r="C42" s="112" t="n">
        <v>40</v>
      </c>
      <c r="D42" s="112" t="n">
        <v>0.8</v>
      </c>
      <c r="E42" s="112" t="n">
        <v>90</v>
      </c>
      <c r="F42" s="114" t="n">
        <v>0.1</v>
      </c>
      <c r="G42" s="114" t="n">
        <v>0.3</v>
      </c>
      <c r="H42" s="76">
        <f>$C42+$D42*'05_Params'!$B$4*POWER(1+$G42,'05_Params'!$B$13/12)*MIN($E42,'05_Params'!$B$13*30.44)*(1+$F42)</f>
        <v/>
      </c>
      <c r="I42" s="76">
        <f>$C42+$D42*'05_Params'!$B$4*POWER(1+$G42,'05_Params'!$B$14/12)*MIN($E42,'05_Params'!$B$14*30.44)*(1+$F42)</f>
        <v/>
      </c>
      <c r="J42" s="76">
        <f>$C42+$D42*'05_Params'!$B$4*POWER(1+$G42,'05_Params'!$B$15/12)*MIN($E42,'05_Params'!$B$15*30.44)*(1+$F42)</f>
        <v/>
      </c>
      <c r="K42" s="76">
        <f>$C42+$D42*'05_Params'!$B$4*POWER(1+$G42,'05_Params'!$B$16/12)*MIN($E42,'05_Params'!$B$16*30.44)*(1+$F42)</f>
        <v/>
      </c>
      <c r="L42" s="98">
        <f>IFERROR(INDEX('05_Params'!$G$4:$G$23,COUNTIF('05_Params'!$G$4:$G$23,"&lt;"&amp;K42/(1-'05_Params'!$B$8))+1),CEILING(K42/(1-'05_Params'!$B$8),64))</f>
        <v/>
      </c>
      <c r="M42" s="99" t="inlineStr">
        <is>
          <t>ตั้ง --storage.tsdb.retention.time=90d และลด scrape_interval ของ metric ที่ไม่สำคัญ; ถ้าต้องเก็บนานให้ส่งต่อ VictoriaMetrics/Thanos</t>
        </is>
      </c>
    </row>
    <row r="43" ht="34" customHeight="1">
      <c r="A43" s="112" t="inlineStr">
        <is>
          <t>grafana</t>
        </is>
      </c>
      <c r="B43" s="113" t="inlineStr">
        <is>
          <t>Grafana (Dashboard)</t>
        </is>
      </c>
      <c r="C43" s="112" t="n">
        <v>10</v>
      </c>
      <c r="D43" s="112" t="n">
        <v>0.02</v>
      </c>
      <c r="E43" s="112" t="n">
        <v>365</v>
      </c>
      <c r="F43" s="114" t="n">
        <v>0.05</v>
      </c>
      <c r="G43" s="114" t="n">
        <v>0.15</v>
      </c>
      <c r="H43" s="76">
        <f>$C43+$D43*'05_Params'!$B$4*POWER(1+$G43,'05_Params'!$B$13/12)*MIN($E43,'05_Params'!$B$13*30.44)*(1+$F43)</f>
        <v/>
      </c>
      <c r="I43" s="76">
        <f>$C43+$D43*'05_Params'!$B$4*POWER(1+$G43,'05_Params'!$B$14/12)*MIN($E43,'05_Params'!$B$14*30.44)*(1+$F43)</f>
        <v/>
      </c>
      <c r="J43" s="76">
        <f>$C43+$D43*'05_Params'!$B$4*POWER(1+$G43,'05_Params'!$B$15/12)*MIN($E43,'05_Params'!$B$15*30.44)*(1+$F43)</f>
        <v/>
      </c>
      <c r="K43" s="76">
        <f>$C43+$D43*'05_Params'!$B$4*POWER(1+$G43,'05_Params'!$B$16/12)*MIN($E43,'05_Params'!$B$16*30.44)*(1+$F43)</f>
        <v/>
      </c>
      <c r="L43" s="98">
        <f>IFERROR(INDEX('05_Params'!$G$4:$G$23,COUNTIF('05_Params'!$G$4:$G$23,"&lt;"&amp;K43/(1-'05_Params'!$B$8))+1),CEILING(K43/(1-'05_Params'!$B$8),64))</f>
        <v/>
      </c>
      <c r="M43" s="99" t="inlineStr">
        <is>
          <t>ปริมาณข้อมูลน้อย ไม่ต้องมีนโยบายเฉพาะ — รวมอยู่ใน Disk OS ได้</t>
        </is>
      </c>
    </row>
    <row r="44" ht="34" customHeight="1">
      <c r="A44" s="112" t="inlineStr">
        <is>
          <t>zabbix</t>
        </is>
      </c>
      <c r="B44" s="113" t="inlineStr">
        <is>
          <t>Zabbix Server (Infrastructure Monitoring)</t>
        </is>
      </c>
      <c r="C44" s="112" t="n">
        <v>30</v>
      </c>
      <c r="D44" s="112" t="n">
        <v>0.4</v>
      </c>
      <c r="E44" s="112" t="n">
        <v>365</v>
      </c>
      <c r="F44" s="114" t="n">
        <v>0.25</v>
      </c>
      <c r="G44" s="114" t="n">
        <v>0.2</v>
      </c>
      <c r="H44" s="76">
        <f>$C44+$D44*'05_Params'!$B$4*POWER(1+$G44,'05_Params'!$B$13/12)*MIN($E44,'05_Params'!$B$13*30.44)*(1+$F44)</f>
        <v/>
      </c>
      <c r="I44" s="76">
        <f>$C44+$D44*'05_Params'!$B$4*POWER(1+$G44,'05_Params'!$B$14/12)*MIN($E44,'05_Params'!$B$14*30.44)*(1+$F44)</f>
        <v/>
      </c>
      <c r="J44" s="76">
        <f>$C44+$D44*'05_Params'!$B$4*POWER(1+$G44,'05_Params'!$B$15/12)*MIN($E44,'05_Params'!$B$15*30.44)*(1+$F44)</f>
        <v/>
      </c>
      <c r="K44" s="76">
        <f>$C44+$D44*'05_Params'!$B$4*POWER(1+$G44,'05_Params'!$B$16/12)*MIN($E44,'05_Params'!$B$16*30.44)*(1+$F44)</f>
        <v/>
      </c>
      <c r="L44" s="98">
        <f>IFERROR(INDEX('05_Params'!$G$4:$G$23,COUNTIF('05_Params'!$G$4:$G$23,"&lt;"&amp;K44/(1-'05_Params'!$B$8))+1),CEILING(K44/(1-'05_Params'!$B$8),64))</f>
        <v/>
      </c>
      <c r="M44" s="99" t="inlineStr">
        <is>
          <t>ปริมาณข้อมูลน้อย ไม่ต้องมีนโยบายเฉพาะ — รวมอยู่ใน Disk OS ได้</t>
        </is>
      </c>
    </row>
    <row r="45" ht="34" customHeight="1">
      <c r="A45" s="112" t="inlineStr">
        <is>
          <t>ansible-chef</t>
        </is>
      </c>
      <c r="B45" s="113" t="inlineStr">
        <is>
          <t>Ansible / Chef Client (Config Management &amp; Hardening)</t>
        </is>
      </c>
      <c r="C45" s="112" t="n">
        <v>15</v>
      </c>
      <c r="D45" s="112" t="n">
        <v>0.05</v>
      </c>
      <c r="E45" s="112" t="n">
        <v>365</v>
      </c>
      <c r="F45" s="114" t="n">
        <v>0.1</v>
      </c>
      <c r="G45" s="114" t="n">
        <v>0.15</v>
      </c>
      <c r="H45" s="76">
        <f>$C45+$D45*'05_Params'!$B$4*POWER(1+$G45,'05_Params'!$B$13/12)*MIN($E45,'05_Params'!$B$13*30.44)*(1+$F45)</f>
        <v/>
      </c>
      <c r="I45" s="76">
        <f>$C45+$D45*'05_Params'!$B$4*POWER(1+$G45,'05_Params'!$B$14/12)*MIN($E45,'05_Params'!$B$14*30.44)*(1+$F45)</f>
        <v/>
      </c>
      <c r="J45" s="76">
        <f>$C45+$D45*'05_Params'!$B$4*POWER(1+$G45,'05_Params'!$B$15/12)*MIN($E45,'05_Params'!$B$15*30.44)*(1+$F45)</f>
        <v/>
      </c>
      <c r="K45" s="76">
        <f>$C45+$D45*'05_Params'!$B$4*POWER(1+$G45,'05_Params'!$B$16/12)*MIN($E45,'05_Params'!$B$16*30.44)*(1+$F45)</f>
        <v/>
      </c>
      <c r="L45" s="98">
        <f>IFERROR(INDEX('05_Params'!$G$4:$G$23,COUNTIF('05_Params'!$G$4:$G$23,"&lt;"&amp;K45/(1-'05_Params'!$B$8))+1),CEILING(K45/(1-'05_Params'!$B$8),64))</f>
        <v/>
      </c>
      <c r="M45" s="99" t="inlineStr">
        <is>
          <t>ปริมาณข้อมูลน้อย ไม่ต้องมีนโยบายเฉพาะ — รวมอยู่ใน Disk OS ได้</t>
        </is>
      </c>
    </row>
    <row r="46" ht="34" customHeight="1">
      <c r="A46" s="112" t="inlineStr">
        <is>
          <t>modsecurity</t>
        </is>
      </c>
      <c r="B46" s="113" t="inlineStr">
        <is>
          <t>ModSecurity / Coraza (Web Application Firewall)</t>
        </is>
      </c>
      <c r="C46" s="112" t="n">
        <v>15</v>
      </c>
      <c r="D46" s="112" t="n">
        <v>0.4</v>
      </c>
      <c r="E46" s="112" t="n">
        <v>90</v>
      </c>
      <c r="F46" s="114" t="n">
        <v>0.15</v>
      </c>
      <c r="G46" s="114" t="n">
        <v>0.25</v>
      </c>
      <c r="H46" s="76">
        <f>$C46+$D46*'05_Params'!$B$4*POWER(1+$G46,'05_Params'!$B$13/12)*MIN($E46,'05_Params'!$B$13*30.44)*(1+$F46)</f>
        <v/>
      </c>
      <c r="I46" s="76">
        <f>$C46+$D46*'05_Params'!$B$4*POWER(1+$G46,'05_Params'!$B$14/12)*MIN($E46,'05_Params'!$B$14*30.44)*(1+$F46)</f>
        <v/>
      </c>
      <c r="J46" s="76">
        <f>$C46+$D46*'05_Params'!$B$4*POWER(1+$G46,'05_Params'!$B$15/12)*MIN($E46,'05_Params'!$B$15*30.44)*(1+$F46)</f>
        <v/>
      </c>
      <c r="K46" s="76">
        <f>$C46+$D46*'05_Params'!$B$4*POWER(1+$G46,'05_Params'!$B$16/12)*MIN($E46,'05_Params'!$B$16*30.44)*(1+$F46)</f>
        <v/>
      </c>
      <c r="L46" s="98">
        <f>IFERROR(INDEX('05_Params'!$G$4:$G$23,COUNTIF('05_Params'!$G$4:$G$23,"&lt;"&amp;K46/(1-'05_Params'!$B$8))+1),CEILING(K46/(1-'05_Params'!$B$8),64))</f>
        <v/>
      </c>
      <c r="M46" s="99" t="inlineStr">
        <is>
          <t>ปริมาณข้อมูลน้อย ไม่ต้องมีนโยบายเฉพาะ — รวมอยู่ใน Disk OS ได้</t>
        </is>
      </c>
    </row>
    <row r="47" ht="34" customHeight="1">
      <c r="A47" s="112" t="inlineStr">
        <is>
          <t>keycloak</t>
        </is>
      </c>
      <c r="B47" s="113" t="inlineStr">
        <is>
          <t>Keycloak (SSO / MFA / Identity)</t>
        </is>
      </c>
      <c r="C47" s="112" t="n">
        <v>20</v>
      </c>
      <c r="D47" s="112" t="n">
        <v>0.1</v>
      </c>
      <c r="E47" s="112" t="n">
        <v>2555</v>
      </c>
      <c r="F47" s="114" t="n">
        <v>0.15</v>
      </c>
      <c r="G47" s="114" t="n">
        <v>0.2</v>
      </c>
      <c r="H47" s="76">
        <f>$C47+$D47*'05_Params'!$B$4*POWER(1+$G47,'05_Params'!$B$13/12)*MIN($E47,'05_Params'!$B$13*30.44)*(1+$F47)</f>
        <v/>
      </c>
      <c r="I47" s="76">
        <f>$C47+$D47*'05_Params'!$B$4*POWER(1+$G47,'05_Params'!$B$14/12)*MIN($E47,'05_Params'!$B$14*30.44)*(1+$F47)</f>
        <v/>
      </c>
      <c r="J47" s="76">
        <f>$C47+$D47*'05_Params'!$B$4*POWER(1+$G47,'05_Params'!$B$15/12)*MIN($E47,'05_Params'!$B$15*30.44)*(1+$F47)</f>
        <v/>
      </c>
      <c r="K47" s="76">
        <f>$C47+$D47*'05_Params'!$B$4*POWER(1+$G47,'05_Params'!$B$16/12)*MIN($E47,'05_Params'!$B$16*30.44)*(1+$F47)</f>
        <v/>
      </c>
      <c r="L47" s="98">
        <f>IFERROR(INDEX('05_Params'!$G$4:$G$23,COUNTIF('05_Params'!$G$4:$G$23,"&lt;"&amp;K47/(1-'05_Params'!$B$8))+1),CEILING(K47/(1-'05_Params'!$B$8),64))</f>
        <v/>
      </c>
      <c r="M47" s="99" t="inlineStr">
        <is>
          <t>ปริมาณข้อมูลน้อย ไม่ต้องมีนโยบายเฉพาะ — รวมอยู่ใน Disk OS ได้</t>
        </is>
      </c>
    </row>
    <row r="48" ht="34" customHeight="1">
      <c r="A48" s="112" t="inlineStr">
        <is>
          <t>velero-restic</t>
        </is>
      </c>
      <c r="B48" s="113" t="inlineStr">
        <is>
          <t>Velero / restic / pgBackRest (Backup &amp; DR)</t>
        </is>
      </c>
      <c r="C48" s="112" t="n">
        <v>20</v>
      </c>
      <c r="D48" s="112" t="n">
        <v>2</v>
      </c>
      <c r="E48" s="112" t="n">
        <v>90</v>
      </c>
      <c r="F48" s="114" t="n">
        <v>0.05</v>
      </c>
      <c r="G48" s="114" t="n">
        <v>0.25</v>
      </c>
      <c r="H48" s="76">
        <f>$C48+$D48*'05_Params'!$B$4*POWER(1+$G48,'05_Params'!$B$13/12)*MIN($E48,'05_Params'!$B$13*30.44)*(1+$F48)</f>
        <v/>
      </c>
      <c r="I48" s="76">
        <f>$C48+$D48*'05_Params'!$B$4*POWER(1+$G48,'05_Params'!$B$14/12)*MIN($E48,'05_Params'!$B$14*30.44)*(1+$F48)</f>
        <v/>
      </c>
      <c r="J48" s="76">
        <f>$C48+$D48*'05_Params'!$B$4*POWER(1+$G48,'05_Params'!$B$15/12)*MIN($E48,'05_Params'!$B$15*30.44)*(1+$F48)</f>
        <v/>
      </c>
      <c r="K48" s="76">
        <f>$C48+$D48*'05_Params'!$B$4*POWER(1+$G48,'05_Params'!$B$16/12)*MIN($E48,'05_Params'!$B$16*30.44)*(1+$F48)</f>
        <v/>
      </c>
      <c r="L48" s="98">
        <f>IFERROR(INDEX('05_Params'!$G$4:$G$23,COUNTIF('05_Params'!$G$4:$G$23,"&lt;"&amp;K48/(1-'05_Params'!$B$8))+1),CEILING(K48/(1-'05_Params'!$B$8),64))</f>
        <v/>
      </c>
      <c r="M48" s="99" t="inlineStr">
        <is>
          <t>ใช้ incremental + dedup, กำหนด GFS (Grandfather-Father-Son) แทนการเก็บ full ทุกวัน</t>
        </is>
      </c>
    </row>
    <row r="49" ht="34" customHeight="1">
      <c r="A49" s="112" t="inlineStr">
        <is>
          <t>prowler</t>
        </is>
      </c>
      <c r="B49" s="113" t="inlineStr">
        <is>
          <t>Prowler / ScoutSuite (Cloud &amp; Infra Posture Scan)</t>
        </is>
      </c>
      <c r="C49" s="112" t="n">
        <v>15</v>
      </c>
      <c r="D49" s="112" t="n">
        <v>0.05</v>
      </c>
      <c r="E49" s="112" t="n">
        <v>730</v>
      </c>
      <c r="F49" s="114" t="n">
        <v>0.1</v>
      </c>
      <c r="G49" s="114" t="n">
        <v>0.15</v>
      </c>
      <c r="H49" s="76">
        <f>$C49+$D49*'05_Params'!$B$4*POWER(1+$G49,'05_Params'!$B$13/12)*MIN($E49,'05_Params'!$B$13*30.44)*(1+$F49)</f>
        <v/>
      </c>
      <c r="I49" s="76">
        <f>$C49+$D49*'05_Params'!$B$4*POWER(1+$G49,'05_Params'!$B$14/12)*MIN($E49,'05_Params'!$B$14*30.44)*(1+$F49)</f>
        <v/>
      </c>
      <c r="J49" s="76">
        <f>$C49+$D49*'05_Params'!$B$4*POWER(1+$G49,'05_Params'!$B$15/12)*MIN($E49,'05_Params'!$B$15*30.44)*(1+$F49)</f>
        <v/>
      </c>
      <c r="K49" s="76">
        <f>$C49+$D49*'05_Params'!$B$4*POWER(1+$G49,'05_Params'!$B$16/12)*MIN($E49,'05_Params'!$B$16*30.44)*(1+$F49)</f>
        <v/>
      </c>
      <c r="L49" s="98">
        <f>IFERROR(INDEX('05_Params'!$G$4:$G$23,COUNTIF('05_Params'!$G$4:$G$23,"&lt;"&amp;K49/(1-'05_Params'!$B$8))+1),CEILING(K49/(1-'05_Params'!$B$8),64))</f>
        <v/>
      </c>
      <c r="M49" s="99" t="inlineStr">
        <is>
          <t>ปริมาณข้อมูลน้อย ไม่ต้องมีนโยบายเฉพาะ — รวมอยู่ใน Disk OS ได้</t>
        </is>
      </c>
    </row>
    <row r="50" ht="34" customHeight="1">
      <c r="A50" s="109" t="inlineStr">
        <is>
          <t>mlflow</t>
        </is>
      </c>
      <c r="B50" s="110" t="inlineStr">
        <is>
          <t>MLflow (Experiment Tracking + Model Registry)</t>
        </is>
      </c>
      <c r="C50" s="109" t="n">
        <v>20</v>
      </c>
      <c r="D50" s="109" t="n">
        <v>0.5</v>
      </c>
      <c r="E50" s="109" t="n">
        <v>730</v>
      </c>
      <c r="F50" s="111" t="n">
        <v>0.15</v>
      </c>
      <c r="G50" s="111" t="n">
        <v>0.4</v>
      </c>
      <c r="H50" s="72">
        <f>$C50+$D50*'05_Params'!$B$4*POWER(1+$G50,'05_Params'!$B$13/12)*MIN($E50,'05_Params'!$B$13*30.44)*(1+$F50)</f>
        <v/>
      </c>
      <c r="I50" s="72">
        <f>$C50+$D50*'05_Params'!$B$4*POWER(1+$G50,'05_Params'!$B$14/12)*MIN($E50,'05_Params'!$B$14*30.44)*(1+$F50)</f>
        <v/>
      </c>
      <c r="J50" s="72">
        <f>$C50+$D50*'05_Params'!$B$4*POWER(1+$G50,'05_Params'!$B$15/12)*MIN($E50,'05_Params'!$B$15*30.44)*(1+$F50)</f>
        <v/>
      </c>
      <c r="K50" s="72">
        <f>$C50+$D50*'05_Params'!$B$4*POWER(1+$G50,'05_Params'!$B$16/12)*MIN($E50,'05_Params'!$B$16*30.44)*(1+$F50)</f>
        <v/>
      </c>
      <c r="L50" s="98">
        <f>IFERROR(INDEX('05_Params'!$G$4:$G$23,COUNTIF('05_Params'!$G$4:$G$23,"&lt;"&amp;K50/(1-'05_Params'!$B$8))+1),CEILING(K50/(1-'05_Params'!$B$8),64))</f>
        <v/>
      </c>
      <c r="M50" s="99" t="inlineStr">
        <is>
          <t>ตั้ง artifact retention ต่อ experiment + ย้าย artifact เก่าไป cold storage</t>
        </is>
      </c>
    </row>
    <row r="51" ht="34" customHeight="1">
      <c r="A51" s="106" t="inlineStr">
        <is>
          <t>llm-eval</t>
        </is>
      </c>
      <c r="B51" s="107" t="inlineStr">
        <is>
          <t>LLM Evaluation Runner (AI/LLM Eval Harness)</t>
        </is>
      </c>
      <c r="C51" s="106" t="n">
        <v>40</v>
      </c>
      <c r="D51" s="106" t="n">
        <v>0.2</v>
      </c>
      <c r="E51" s="106" t="n">
        <v>365</v>
      </c>
      <c r="F51" s="108" t="n">
        <v>0.1</v>
      </c>
      <c r="G51" s="108" t="n">
        <v>0.3</v>
      </c>
      <c r="H51" s="68">
        <f>$C51+$D51*'05_Params'!$B$4*POWER(1+$G51,'05_Params'!$B$13/12)*MIN($E51,'05_Params'!$B$13*30.44)*(1+$F51)</f>
        <v/>
      </c>
      <c r="I51" s="68">
        <f>$C51+$D51*'05_Params'!$B$4*POWER(1+$G51,'05_Params'!$B$14/12)*MIN($E51,'05_Params'!$B$14*30.44)*(1+$F51)</f>
        <v/>
      </c>
      <c r="J51" s="68">
        <f>$C51+$D51*'05_Params'!$B$4*POWER(1+$G51,'05_Params'!$B$15/12)*MIN($E51,'05_Params'!$B$15*30.44)*(1+$F51)</f>
        <v/>
      </c>
      <c r="K51" s="68">
        <f>$C51+$D51*'05_Params'!$B$4*POWER(1+$G51,'05_Params'!$B$16/12)*MIN($E51,'05_Params'!$B$16*30.44)*(1+$F51)</f>
        <v/>
      </c>
      <c r="L51" s="98">
        <f>IFERROR(INDEX('05_Params'!$G$4:$G$23,COUNTIF('05_Params'!$G$4:$G$23,"&lt;"&amp;K51/(1-'05_Params'!$B$8))+1),CEILING(K51/(1-'05_Params'!$B$8),64))</f>
        <v/>
      </c>
      <c r="M51" s="99" t="inlineStr">
        <is>
          <t>ปริมาณข้อมูลน้อย ไม่ต้องมีนโยบายเฉพาะ — รวมอยู่ใน Disk OS ได้</t>
        </is>
      </c>
    </row>
    <row r="52" ht="34" customHeight="1">
      <c r="A52" s="103" t="inlineStr">
        <is>
          <t>gpu-training</t>
        </is>
      </c>
      <c r="B52" s="104" t="inlineStr">
        <is>
          <t>GPU Training Node (Model Training / Fine-tune)</t>
        </is>
      </c>
      <c r="C52" s="103" t="n">
        <v>200</v>
      </c>
      <c r="D52" s="103" t="n">
        <v>5</v>
      </c>
      <c r="E52" s="103" t="n">
        <v>180</v>
      </c>
      <c r="F52" s="105" t="n">
        <v>0.1</v>
      </c>
      <c r="G52" s="105" t="n">
        <v>0.4</v>
      </c>
      <c r="H52" s="64">
        <f>$C52+$D52*'05_Params'!$B$4*POWER(1+$G52,'05_Params'!$B$13/12)*MIN($E52,'05_Params'!$B$13*30.44)*(1+$F52)</f>
        <v/>
      </c>
      <c r="I52" s="64">
        <f>$C52+$D52*'05_Params'!$B$4*POWER(1+$G52,'05_Params'!$B$14/12)*MIN($E52,'05_Params'!$B$14*30.44)*(1+$F52)</f>
        <v/>
      </c>
      <c r="J52" s="64">
        <f>$C52+$D52*'05_Params'!$B$4*POWER(1+$G52,'05_Params'!$B$15/12)*MIN($E52,'05_Params'!$B$15*30.44)*(1+$F52)</f>
        <v/>
      </c>
      <c r="K52" s="64">
        <f>$C52+$D52*'05_Params'!$B$4*POWER(1+$G52,'05_Params'!$B$16/12)*MIN($E52,'05_Params'!$B$16*30.44)*(1+$F52)</f>
        <v/>
      </c>
      <c r="L52" s="98">
        <f>IFERROR(INDEX('05_Params'!$G$4:$G$23,COUNTIF('05_Params'!$G$4:$G$23,"&lt;"&amp;K52/(1-'05_Params'!$B$8))+1),CEILING(K52/(1-'05_Params'!$B$8),64))</f>
        <v/>
      </c>
      <c r="M52" s="99" t="inlineStr">
        <is>
          <t>เก็บเฉพาะ checkpoint ที่ดีที่สุดและ checkpoint สุดท้าย ลบ intermediate ที่เหลือ</t>
        </is>
      </c>
    </row>
    <row r="53" ht="34" customHeight="1">
      <c r="A53" s="109" t="inlineStr">
        <is>
          <t>redis</t>
        </is>
      </c>
      <c r="B53" s="110" t="inlineStr">
        <is>
          <t>Redis (Cache สำหรับเครื่องมือ CI/CD)</t>
        </is>
      </c>
      <c r="C53" s="109" t="n">
        <v>10</v>
      </c>
      <c r="D53" s="109" t="n">
        <v>0.05</v>
      </c>
      <c r="E53" s="109" t="n">
        <v>30</v>
      </c>
      <c r="F53" s="111" t="n">
        <v>0.1</v>
      </c>
      <c r="G53" s="111" t="n">
        <v>0.2</v>
      </c>
      <c r="H53" s="72">
        <f>$C53+$D53*'05_Params'!$B$4*POWER(1+$G53,'05_Params'!$B$13/12)*MIN($E53,'05_Params'!$B$13*30.44)*(1+$F53)</f>
        <v/>
      </c>
      <c r="I53" s="72">
        <f>$C53+$D53*'05_Params'!$B$4*POWER(1+$G53,'05_Params'!$B$14/12)*MIN($E53,'05_Params'!$B$14*30.44)*(1+$F53)</f>
        <v/>
      </c>
      <c r="J53" s="72">
        <f>$C53+$D53*'05_Params'!$B$4*POWER(1+$G53,'05_Params'!$B$15/12)*MIN($E53,'05_Params'!$B$15*30.44)*(1+$F53)</f>
        <v/>
      </c>
      <c r="K53" s="72">
        <f>$C53+$D53*'05_Params'!$B$4*POWER(1+$G53,'05_Params'!$B$16/12)*MIN($E53,'05_Params'!$B$16*30.44)*(1+$F53)</f>
        <v/>
      </c>
      <c r="L53" s="98">
        <f>IFERROR(INDEX('05_Params'!$G$4:$G$23,COUNTIF('05_Params'!$G$4:$G$23,"&lt;"&amp;K53/(1-'05_Params'!$B$8))+1),CEILING(K53/(1-'05_Params'!$B$8),64))</f>
        <v/>
      </c>
      <c r="M53" s="99" t="inlineStr">
        <is>
          <t>ปริมาณข้อมูลน้อย ไม่ต้องมีนโยบายเฉพาะ — รวมอยู่ใน Disk OS ได้</t>
        </is>
      </c>
    </row>
    <row r="54" ht="34" customHeight="1">
      <c r="A54" s="109" t="inlineStr">
        <is>
          <t>rabbitmq</t>
        </is>
      </c>
      <c r="B54" s="110" t="inlineStr">
        <is>
          <t>RabbitMQ (Message Queue)</t>
        </is>
      </c>
      <c r="C54" s="109" t="n">
        <v>15</v>
      </c>
      <c r="D54" s="109" t="n">
        <v>0.1</v>
      </c>
      <c r="E54" s="109" t="n">
        <v>30</v>
      </c>
      <c r="F54" s="111" t="n">
        <v>0.1</v>
      </c>
      <c r="G54" s="111" t="n">
        <v>0.2</v>
      </c>
      <c r="H54" s="72">
        <f>$C54+$D54*'05_Params'!$B$4*POWER(1+$G54,'05_Params'!$B$13/12)*MIN($E54,'05_Params'!$B$13*30.44)*(1+$F54)</f>
        <v/>
      </c>
      <c r="I54" s="72">
        <f>$C54+$D54*'05_Params'!$B$4*POWER(1+$G54,'05_Params'!$B$14/12)*MIN($E54,'05_Params'!$B$14*30.44)*(1+$F54)</f>
        <v/>
      </c>
      <c r="J54" s="72">
        <f>$C54+$D54*'05_Params'!$B$4*POWER(1+$G54,'05_Params'!$B$15/12)*MIN($E54,'05_Params'!$B$15*30.44)*(1+$F54)</f>
        <v/>
      </c>
      <c r="K54" s="72">
        <f>$C54+$D54*'05_Params'!$B$4*POWER(1+$G54,'05_Params'!$B$16/12)*MIN($E54,'05_Params'!$B$16*30.44)*(1+$F54)</f>
        <v/>
      </c>
      <c r="L54" s="98">
        <f>IFERROR(INDEX('05_Params'!$G$4:$G$23,COUNTIF('05_Params'!$G$4:$G$23,"&lt;"&amp;K54/(1-'05_Params'!$B$8))+1),CEILING(K54/(1-'05_Params'!$B$8),64))</f>
        <v/>
      </c>
      <c r="M54" s="99" t="inlineStr">
        <is>
          <t>ปริมาณข้อมูลน้อย ไม่ต้องมีนโยบายเฉพาะ — รวมอยู่ใน Disk OS ได้</t>
        </is>
      </c>
    </row>
    <row r="55" ht="34" customHeight="1">
      <c r="A55" s="109" t="inlineStr">
        <is>
          <t>sftp-nfs</t>
        </is>
      </c>
      <c r="B55" s="110" t="inlineStr">
        <is>
          <t>SFTP / NFS File Server</t>
        </is>
      </c>
      <c r="C55" s="109" t="n">
        <v>20</v>
      </c>
      <c r="D55" s="109" t="n">
        <v>0.5</v>
      </c>
      <c r="E55" s="109" t="n">
        <v>180</v>
      </c>
      <c r="F55" s="111" t="n">
        <v>0.05</v>
      </c>
      <c r="G55" s="111" t="n">
        <v>0.25</v>
      </c>
      <c r="H55" s="72">
        <f>$C55+$D55*'05_Params'!$B$4*POWER(1+$G55,'05_Params'!$B$13/12)*MIN($E55,'05_Params'!$B$13*30.44)*(1+$F55)</f>
        <v/>
      </c>
      <c r="I55" s="72">
        <f>$C55+$D55*'05_Params'!$B$4*POWER(1+$G55,'05_Params'!$B$14/12)*MIN($E55,'05_Params'!$B$14*30.44)*(1+$F55)</f>
        <v/>
      </c>
      <c r="J55" s="72">
        <f>$C55+$D55*'05_Params'!$B$4*POWER(1+$G55,'05_Params'!$B$15/12)*MIN($E55,'05_Params'!$B$15*30.44)*(1+$F55)</f>
        <v/>
      </c>
      <c r="K55" s="72">
        <f>$C55+$D55*'05_Params'!$B$4*POWER(1+$G55,'05_Params'!$B$16/12)*MIN($E55,'05_Params'!$B$16*30.44)*(1+$F55)</f>
        <v/>
      </c>
      <c r="L55" s="98">
        <f>IFERROR(INDEX('05_Params'!$G$4:$G$23,COUNTIF('05_Params'!$G$4:$G$23,"&lt;"&amp;K55/(1-'05_Params'!$B$8))+1),CEILING(K55/(1-'05_Params'!$B$8),64))</f>
        <v/>
      </c>
      <c r="M55" s="99" t="inlineStr">
        <is>
          <t>ย้ายไฟล์เก่ากว่า 90 วันไป MinIO แล้วเก็บเฉพาะ pointer</t>
        </is>
      </c>
    </row>
    <row r="56" ht="34" customHeight="1">
      <c r="A56" s="100" t="inlineStr">
        <is>
          <t>scancode</t>
        </is>
      </c>
      <c r="B56" s="101" t="inlineStr">
        <is>
          <t>ScanCode Toolkit / License Finder (License Compliance แบบ Permissive)</t>
        </is>
      </c>
      <c r="C56" s="100" t="n">
        <v>15</v>
      </c>
      <c r="D56" s="100" t="n">
        <v>0.02</v>
      </c>
      <c r="E56" s="100" t="n">
        <v>730</v>
      </c>
      <c r="F56" s="102" t="n">
        <v>0.05</v>
      </c>
      <c r="G56" s="102" t="n">
        <v>0.1</v>
      </c>
      <c r="H56" s="60">
        <f>$C56+$D56*'05_Params'!$B$4*POWER(1+$G56,'05_Params'!$B$13/12)*MIN($E56,'05_Params'!$B$13*30.44)*(1+$F56)</f>
        <v/>
      </c>
      <c r="I56" s="60">
        <f>$C56+$D56*'05_Params'!$B$4*POWER(1+$G56,'05_Params'!$B$14/12)*MIN($E56,'05_Params'!$B$14*30.44)*(1+$F56)</f>
        <v/>
      </c>
      <c r="J56" s="60">
        <f>$C56+$D56*'05_Params'!$B$4*POWER(1+$G56,'05_Params'!$B$15/12)*MIN($E56,'05_Params'!$B$15*30.44)*(1+$F56)</f>
        <v/>
      </c>
      <c r="K56" s="60">
        <f>$C56+$D56*'05_Params'!$B$4*POWER(1+$G56,'05_Params'!$B$16/12)*MIN($E56,'05_Params'!$B$16*30.44)*(1+$F56)</f>
        <v/>
      </c>
      <c r="L56" s="98">
        <f>IFERROR(INDEX('05_Params'!$G$4:$G$23,COUNTIF('05_Params'!$G$4:$G$23,"&lt;"&amp;K56/(1-'05_Params'!$B$8))+1),CEILING(K56/(1-'05_Params'!$B$8),64))</f>
        <v/>
      </c>
      <c r="M56" s="99" t="inlineStr">
        <is>
          <t>ปริมาณข้อมูลน้อย ไม่ต้องมีนโยบายเฉพาะ — รวมอยู่ใน Disk OS ได้</t>
        </is>
      </c>
    </row>
    <row r="57" ht="34" customHeight="1">
      <c r="A57" s="106" t="inlineStr">
        <is>
          <t>cbomkit</t>
        </is>
      </c>
      <c r="B57" s="107" t="inlineStr">
        <is>
          <t>CBOMkit / Crypto Inventory Scanner (Crypto Bill of Materials)</t>
        </is>
      </c>
      <c r="C57" s="106" t="n">
        <v>10</v>
      </c>
      <c r="D57" s="106" t="n">
        <v>0.02</v>
      </c>
      <c r="E57" s="106" t="n">
        <v>730</v>
      </c>
      <c r="F57" s="108" t="n">
        <v>0.05</v>
      </c>
      <c r="G57" s="108" t="n">
        <v>0.1</v>
      </c>
      <c r="H57" s="68">
        <f>$C57+$D57*'05_Params'!$B$4*POWER(1+$G57,'05_Params'!$B$13/12)*MIN($E57,'05_Params'!$B$13*30.44)*(1+$F57)</f>
        <v/>
      </c>
      <c r="I57" s="68">
        <f>$C57+$D57*'05_Params'!$B$4*POWER(1+$G57,'05_Params'!$B$14/12)*MIN($E57,'05_Params'!$B$14*30.44)*(1+$F57)</f>
        <v/>
      </c>
      <c r="J57" s="68">
        <f>$C57+$D57*'05_Params'!$B$4*POWER(1+$G57,'05_Params'!$B$15/12)*MIN($E57,'05_Params'!$B$15*30.44)*(1+$F57)</f>
        <v/>
      </c>
      <c r="K57" s="68">
        <f>$C57+$D57*'05_Params'!$B$4*POWER(1+$G57,'05_Params'!$B$16/12)*MIN($E57,'05_Params'!$B$16*30.44)*(1+$F57)</f>
        <v/>
      </c>
      <c r="L57" s="98">
        <f>IFERROR(INDEX('05_Params'!$G$4:$G$23,COUNTIF('05_Params'!$G$4:$G$23,"&lt;"&amp;K57/(1-'05_Params'!$B$8))+1),CEILING(K57/(1-'05_Params'!$B$8),64))</f>
        <v/>
      </c>
      <c r="M57" s="99" t="inlineStr">
        <is>
          <t>ปริมาณข้อมูลน้อย ไม่ต้องมีนโยบายเฉพาะ — รวมอยู่ใน Disk OS ได้</t>
        </is>
      </c>
    </row>
    <row r="58" ht="34" customHeight="1">
      <c r="A58" s="109" t="inlineStr">
        <is>
          <t>opensearch</t>
        </is>
      </c>
      <c r="B58" s="110" t="inlineStr">
        <is>
          <t>OpenSearch + OpenSearch Dashboards (Log &amp; SIEM แบบ Apache-2.0)</t>
        </is>
      </c>
      <c r="C58" s="109" t="n">
        <v>50</v>
      </c>
      <c r="D58" s="109" t="n">
        <v>1.5</v>
      </c>
      <c r="E58" s="109" t="n">
        <v>90</v>
      </c>
      <c r="F58" s="111" t="n">
        <v>0.45</v>
      </c>
      <c r="G58" s="111" t="n">
        <v>0.3</v>
      </c>
      <c r="H58" s="72">
        <f>$C58+$D58*'05_Params'!$B$4*POWER(1+$G58,'05_Params'!$B$13/12)*MIN($E58,'05_Params'!$B$13*30.44)*(1+$F58)</f>
        <v/>
      </c>
      <c r="I58" s="72">
        <f>$C58+$D58*'05_Params'!$B$4*POWER(1+$G58,'05_Params'!$B$14/12)*MIN($E58,'05_Params'!$B$14*30.44)*(1+$F58)</f>
        <v/>
      </c>
      <c r="J58" s="72">
        <f>$C58+$D58*'05_Params'!$B$4*POWER(1+$G58,'05_Params'!$B$15/12)*MIN($E58,'05_Params'!$B$15*30.44)*(1+$F58)</f>
        <v/>
      </c>
      <c r="K58" s="72">
        <f>$C58+$D58*'05_Params'!$B$4*POWER(1+$G58,'05_Params'!$B$16/12)*MIN($E58,'05_Params'!$B$16*30.44)*(1+$F58)</f>
        <v/>
      </c>
      <c r="L58" s="98">
        <f>IFERROR(INDEX('05_Params'!$G$4:$G$23,COUNTIF('05_Params'!$G$4:$G$23,"&lt;"&amp;K58/(1-'05_Params'!$B$8))+1),CEILING(K58/(1-'05_Params'!$B$8),64))</f>
        <v/>
      </c>
      <c r="M58" s="99" t="inlineStr">
        <is>
          <t>ปริมาณข้อมูลน้อย ไม่ต้องมีนโยบายเฉพาะ — รวมอยู่ใน Disk OS ได้</t>
        </is>
      </c>
    </row>
    <row r="59" ht="34" customHeight="1">
      <c r="A59" s="109" t="inlineStr">
        <is>
          <t>openbao</t>
        </is>
      </c>
      <c r="B59" s="110" t="inlineStr">
        <is>
          <t>OpenBao (Secret Management แบบ MPL-2.0)</t>
        </is>
      </c>
      <c r="C59" s="109" t="n">
        <v>20</v>
      </c>
      <c r="D59" s="109" t="n">
        <v>0.05</v>
      </c>
      <c r="E59" s="109" t="n">
        <v>2555</v>
      </c>
      <c r="F59" s="111" t="n">
        <v>0.1</v>
      </c>
      <c r="G59" s="111" t="n">
        <v>0.15</v>
      </c>
      <c r="H59" s="72">
        <f>$C59+$D59*'05_Params'!$B$4*POWER(1+$G59,'05_Params'!$B$13/12)*MIN($E59,'05_Params'!$B$13*30.44)*(1+$F59)</f>
        <v/>
      </c>
      <c r="I59" s="72">
        <f>$C59+$D59*'05_Params'!$B$4*POWER(1+$G59,'05_Params'!$B$14/12)*MIN($E59,'05_Params'!$B$14*30.44)*(1+$F59)</f>
        <v/>
      </c>
      <c r="J59" s="72">
        <f>$C59+$D59*'05_Params'!$B$4*POWER(1+$G59,'05_Params'!$B$15/12)*MIN($E59,'05_Params'!$B$15*30.44)*(1+$F59)</f>
        <v/>
      </c>
      <c r="K59" s="72">
        <f>$C59+$D59*'05_Params'!$B$4*POWER(1+$G59,'05_Params'!$B$16/12)*MIN($E59,'05_Params'!$B$16*30.44)*(1+$F59)</f>
        <v/>
      </c>
      <c r="L59" s="98">
        <f>IFERROR(INDEX('05_Params'!$G$4:$G$23,COUNTIF('05_Params'!$G$4:$G$23,"&lt;"&amp;K59/(1-'05_Params'!$B$8))+1),CEILING(K59/(1-'05_Params'!$B$8),64))</f>
        <v/>
      </c>
      <c r="M59" s="99" t="inlineStr">
        <is>
          <t>ปริมาณข้อมูลน้อย ไม่ต้องมีนโยบายเฉพาะ — รวมอยู่ใน Disk OS ได้</t>
        </is>
      </c>
    </row>
    <row r="60" ht="34" customHeight="1">
      <c r="A60" s="95" t="inlineStr">
        <is>
          <t>azure-devops</t>
        </is>
      </c>
      <c r="B60" s="96" t="inlineStr">
        <is>
          <t>Azure DevOps (Cloud CI/CD Platform)</t>
        </is>
      </c>
      <c r="C60" s="95" t="n">
        <v>0</v>
      </c>
      <c r="D60" s="95" t="n">
        <v>0.02</v>
      </c>
      <c r="E60" s="95" t="n">
        <v>365</v>
      </c>
      <c r="F60" s="97" t="n">
        <v>0.1</v>
      </c>
      <c r="G60" s="97" t="n">
        <v>0.2</v>
      </c>
      <c r="H60" s="54">
        <f>$C60+$D60*'05_Params'!$B$4*POWER(1+$G60,'05_Params'!$B$13/12)*MIN($E60,'05_Params'!$B$13*30.44)*(1+$F60)</f>
        <v/>
      </c>
      <c r="I60" s="54">
        <f>$C60+$D60*'05_Params'!$B$4*POWER(1+$G60,'05_Params'!$B$14/12)*MIN($E60,'05_Params'!$B$14*30.44)*(1+$F60)</f>
        <v/>
      </c>
      <c r="J60" s="54">
        <f>$C60+$D60*'05_Params'!$B$4*POWER(1+$G60,'05_Params'!$B$15/12)*MIN($E60,'05_Params'!$B$15*30.44)*(1+$F60)</f>
        <v/>
      </c>
      <c r="K60" s="54">
        <f>$C60+$D60*'05_Params'!$B$4*POWER(1+$G60,'05_Params'!$B$16/12)*MIN($E60,'05_Params'!$B$16*30.44)*(1+$F60)</f>
        <v/>
      </c>
      <c r="L60" s="98">
        <f>IFERROR(INDEX('05_Params'!$G$4:$G$23,COUNTIF('05_Params'!$G$4:$G$23,"&lt;"&amp;K60/(1-'05_Params'!$B$8))+1),CEILING(K60/(1-'05_Params'!$B$8),64))</f>
        <v/>
      </c>
      <c r="M60" s="99" t="inlineStr">
        <is>
          <t>ปริมาณข้อมูลน้อย ไม่ต้องมีนโยบายเฉพาะ — รวมอยู่ใน Disk OS ได้</t>
        </is>
      </c>
    </row>
    <row r="61" ht="34" customHeight="1">
      <c r="A61" s="95" t="inlineStr">
        <is>
          <t>github-actions</t>
        </is>
      </c>
      <c r="B61" s="96" t="inlineStr">
        <is>
          <t>GitHub Actions (Cloud CI/CD)</t>
        </is>
      </c>
      <c r="C61" s="95" t="n">
        <v>0</v>
      </c>
      <c r="D61" s="95" t="n">
        <v>0.02</v>
      </c>
      <c r="E61" s="95" t="n">
        <v>90</v>
      </c>
      <c r="F61" s="97" t="n">
        <v>0.1</v>
      </c>
      <c r="G61" s="97" t="n">
        <v>0.2</v>
      </c>
      <c r="H61" s="54">
        <f>$C61+$D61*'05_Params'!$B$4*POWER(1+$G61,'05_Params'!$B$13/12)*MIN($E61,'05_Params'!$B$13*30.44)*(1+$F61)</f>
        <v/>
      </c>
      <c r="I61" s="54">
        <f>$C61+$D61*'05_Params'!$B$4*POWER(1+$G61,'05_Params'!$B$14/12)*MIN($E61,'05_Params'!$B$14*30.44)*(1+$F61)</f>
        <v/>
      </c>
      <c r="J61" s="54">
        <f>$C61+$D61*'05_Params'!$B$4*POWER(1+$G61,'05_Params'!$B$15/12)*MIN($E61,'05_Params'!$B$15*30.44)*(1+$F61)</f>
        <v/>
      </c>
      <c r="K61" s="54">
        <f>$C61+$D61*'05_Params'!$B$4*POWER(1+$G61,'05_Params'!$B$16/12)*MIN($E61,'05_Params'!$B$16*30.44)*(1+$F61)</f>
        <v/>
      </c>
      <c r="L61" s="98">
        <f>IFERROR(INDEX('05_Params'!$G$4:$G$23,COUNTIF('05_Params'!$G$4:$G$23,"&lt;"&amp;K61/(1-'05_Params'!$B$8))+1),CEILING(K61/(1-'05_Params'!$B$8),64))</f>
        <v/>
      </c>
      <c r="M61" s="99" t="inlineStr">
        <is>
          <t>ปริมาณข้อมูลน้อย ไม่ต้องมีนโยบายเฉพาะ — รวมอยู่ใน Disk OS ได้</t>
        </is>
      </c>
    </row>
    <row r="62" ht="34" customHeight="1">
      <c r="A62" s="95" t="inlineStr">
        <is>
          <t>aws-codecommit-pipeline</t>
        </is>
      </c>
      <c r="B62" s="96" t="inlineStr">
        <is>
          <t>AWS CodePipeline + CodeBuild + CodeCommit</t>
        </is>
      </c>
      <c r="C62" s="95" t="n">
        <v>0</v>
      </c>
      <c r="D62" s="95" t="n">
        <v>0.02</v>
      </c>
      <c r="E62" s="95" t="n">
        <v>365</v>
      </c>
      <c r="F62" s="97" t="n">
        <v>0.1</v>
      </c>
      <c r="G62" s="97" t="n">
        <v>0.2</v>
      </c>
      <c r="H62" s="54">
        <f>$C62+$D62*'05_Params'!$B$4*POWER(1+$G62,'05_Params'!$B$13/12)*MIN($E62,'05_Params'!$B$13*30.44)*(1+$F62)</f>
        <v/>
      </c>
      <c r="I62" s="54">
        <f>$C62+$D62*'05_Params'!$B$4*POWER(1+$G62,'05_Params'!$B$14/12)*MIN($E62,'05_Params'!$B$14*30.44)*(1+$F62)</f>
        <v/>
      </c>
      <c r="J62" s="54">
        <f>$C62+$D62*'05_Params'!$B$4*POWER(1+$G62,'05_Params'!$B$15/12)*MIN($E62,'05_Params'!$B$15*30.44)*(1+$F62)</f>
        <v/>
      </c>
      <c r="K62" s="54">
        <f>$C62+$D62*'05_Params'!$B$4*POWER(1+$G62,'05_Params'!$B$16/12)*MIN($E62,'05_Params'!$B$16*30.44)*(1+$F62)</f>
        <v/>
      </c>
      <c r="L62" s="98">
        <f>IFERROR(INDEX('05_Params'!$G$4:$G$23,COUNTIF('05_Params'!$G$4:$G$23,"&lt;"&amp;K62/(1-'05_Params'!$B$8))+1),CEILING(K62/(1-'05_Params'!$B$8),64))</f>
        <v/>
      </c>
      <c r="M62" s="99" t="inlineStr">
        <is>
          <t>ปริมาณข้อมูลน้อย ไม่ต้องมีนโยบายเฉพาะ — รวมอยู่ใน Disk OS ได้</t>
        </is>
      </c>
    </row>
    <row r="63" ht="34" customHeight="1">
      <c r="A63" s="95" t="inlineStr">
        <is>
          <t>gcp-cloud-build</t>
        </is>
      </c>
      <c r="B63" s="96" t="inlineStr">
        <is>
          <t>Google Cloud Build + Source Repositories</t>
        </is>
      </c>
      <c r="C63" s="95" t="n">
        <v>0</v>
      </c>
      <c r="D63" s="95" t="n">
        <v>0.02</v>
      </c>
      <c r="E63" s="95" t="n">
        <v>365</v>
      </c>
      <c r="F63" s="97" t="n">
        <v>0.1</v>
      </c>
      <c r="G63" s="97" t="n">
        <v>0.2</v>
      </c>
      <c r="H63" s="54">
        <f>$C63+$D63*'05_Params'!$B$4*POWER(1+$G63,'05_Params'!$B$13/12)*MIN($E63,'05_Params'!$B$13*30.44)*(1+$F63)</f>
        <v/>
      </c>
      <c r="I63" s="54">
        <f>$C63+$D63*'05_Params'!$B$4*POWER(1+$G63,'05_Params'!$B$14/12)*MIN($E63,'05_Params'!$B$14*30.44)*(1+$F63)</f>
        <v/>
      </c>
      <c r="J63" s="54">
        <f>$C63+$D63*'05_Params'!$B$4*POWER(1+$G63,'05_Params'!$B$15/12)*MIN($E63,'05_Params'!$B$15*30.44)*(1+$F63)</f>
        <v/>
      </c>
      <c r="K63" s="54">
        <f>$C63+$D63*'05_Params'!$B$4*POWER(1+$G63,'05_Params'!$B$16/12)*MIN($E63,'05_Params'!$B$16*30.44)*(1+$F63)</f>
        <v/>
      </c>
      <c r="L63" s="98">
        <f>IFERROR(INDEX('05_Params'!$G$4:$G$23,COUNTIF('05_Params'!$G$4:$G$23,"&lt;"&amp;K63/(1-'05_Params'!$B$8))+1),CEILING(K63/(1-'05_Params'!$B$8),64))</f>
        <v/>
      </c>
      <c r="M63" s="99" t="inlineStr">
        <is>
          <t>ปริมาณข้อมูลน้อย ไม่ต้องมีนโยบายเฉพาะ — รวมอยู่ใน Disk OS ได้</t>
        </is>
      </c>
    </row>
    <row r="64" ht="34" customHeight="1">
      <c r="A64" s="106" t="inlineStr">
        <is>
          <t>azure-container-registry</t>
        </is>
      </c>
      <c r="B64" s="107" t="inlineStr">
        <is>
          <t>Azure Container Registry (ACR)</t>
        </is>
      </c>
      <c r="C64" s="106" t="n">
        <v>0</v>
      </c>
      <c r="D64" s="106" t="n">
        <v>0.5</v>
      </c>
      <c r="E64" s="106" t="n">
        <v>365</v>
      </c>
      <c r="F64" s="108" t="n">
        <v>0.1</v>
      </c>
      <c r="G64" s="108" t="n">
        <v>0.3</v>
      </c>
      <c r="H64" s="68">
        <f>$C64+$D64*'05_Params'!$B$4*POWER(1+$G64,'05_Params'!$B$13/12)*MIN($E64,'05_Params'!$B$13*30.44)*(1+$F64)</f>
        <v/>
      </c>
      <c r="I64" s="68">
        <f>$C64+$D64*'05_Params'!$B$4*POWER(1+$G64,'05_Params'!$B$14/12)*MIN($E64,'05_Params'!$B$14*30.44)*(1+$F64)</f>
        <v/>
      </c>
      <c r="J64" s="68">
        <f>$C64+$D64*'05_Params'!$B$4*POWER(1+$G64,'05_Params'!$B$15/12)*MIN($E64,'05_Params'!$B$15*30.44)*(1+$F64)</f>
        <v/>
      </c>
      <c r="K64" s="68">
        <f>$C64+$D64*'05_Params'!$B$4*POWER(1+$G64,'05_Params'!$B$16/12)*MIN($E64,'05_Params'!$B$16*30.44)*(1+$F64)</f>
        <v/>
      </c>
      <c r="L64" s="98">
        <f>IFERROR(INDEX('05_Params'!$G$4:$G$23,COUNTIF('05_Params'!$G$4:$G$23,"&lt;"&amp;K64/(1-'05_Params'!$B$8))+1),CEILING(K64/(1-'05_Params'!$B$8),64))</f>
        <v/>
      </c>
      <c r="M64" s="99" t="inlineStr">
        <is>
          <t>ปริมาณข้อมูลน้อย ไม่ต้องมีนโยบายเฉพาะ — รวมอยู่ใน Disk OS ได้</t>
        </is>
      </c>
    </row>
    <row r="65" ht="34" customHeight="1">
      <c r="A65" s="106" t="inlineStr">
        <is>
          <t>aws-ecr</t>
        </is>
      </c>
      <c r="B65" s="107" t="inlineStr">
        <is>
          <t>Amazon Elastic Container Registry (ECR)</t>
        </is>
      </c>
      <c r="C65" s="106" t="n">
        <v>0</v>
      </c>
      <c r="D65" s="106" t="n">
        <v>0.5</v>
      </c>
      <c r="E65" s="106" t="n">
        <v>365</v>
      </c>
      <c r="F65" s="108" t="n">
        <v>0.1</v>
      </c>
      <c r="G65" s="108" t="n">
        <v>0.3</v>
      </c>
      <c r="H65" s="68">
        <f>$C65+$D65*'05_Params'!$B$4*POWER(1+$G65,'05_Params'!$B$13/12)*MIN($E65,'05_Params'!$B$13*30.44)*(1+$F65)</f>
        <v/>
      </c>
      <c r="I65" s="68">
        <f>$C65+$D65*'05_Params'!$B$4*POWER(1+$G65,'05_Params'!$B$14/12)*MIN($E65,'05_Params'!$B$14*30.44)*(1+$F65)</f>
        <v/>
      </c>
      <c r="J65" s="68">
        <f>$C65+$D65*'05_Params'!$B$4*POWER(1+$G65,'05_Params'!$B$15/12)*MIN($E65,'05_Params'!$B$15*30.44)*(1+$F65)</f>
        <v/>
      </c>
      <c r="K65" s="68">
        <f>$C65+$D65*'05_Params'!$B$4*POWER(1+$G65,'05_Params'!$B$16/12)*MIN($E65,'05_Params'!$B$16*30.44)*(1+$F65)</f>
        <v/>
      </c>
      <c r="L65" s="98">
        <f>IFERROR(INDEX('05_Params'!$G$4:$G$23,COUNTIF('05_Params'!$G$4:$G$23,"&lt;"&amp;K65/(1-'05_Params'!$B$8))+1),CEILING(K65/(1-'05_Params'!$B$8),64))</f>
        <v/>
      </c>
      <c r="M65" s="99" t="inlineStr">
        <is>
          <t>ปริมาณข้อมูลน้อย ไม่ต้องมีนโยบายเฉพาะ — รวมอยู่ใน Disk OS ได้</t>
        </is>
      </c>
    </row>
    <row r="66" ht="34" customHeight="1">
      <c r="A66" s="106" t="inlineStr">
        <is>
          <t>gcp-artifact-registry</t>
        </is>
      </c>
      <c r="B66" s="107" t="inlineStr">
        <is>
          <t>Google Artifact Registry (GAR)</t>
        </is>
      </c>
      <c r="C66" s="106" t="n">
        <v>0</v>
      </c>
      <c r="D66" s="106" t="n">
        <v>0.5</v>
      </c>
      <c r="E66" s="106" t="n">
        <v>365</v>
      </c>
      <c r="F66" s="108" t="n">
        <v>0.1</v>
      </c>
      <c r="G66" s="108" t="n">
        <v>0.3</v>
      </c>
      <c r="H66" s="68">
        <f>$C66+$D66*'05_Params'!$B$4*POWER(1+$G66,'05_Params'!$B$13/12)*MIN($E66,'05_Params'!$B$13*30.44)*(1+$F66)</f>
        <v/>
      </c>
      <c r="I66" s="68">
        <f>$C66+$D66*'05_Params'!$B$4*POWER(1+$G66,'05_Params'!$B$14/12)*MIN($E66,'05_Params'!$B$14*30.44)*(1+$F66)</f>
        <v/>
      </c>
      <c r="J66" s="68">
        <f>$C66+$D66*'05_Params'!$B$4*POWER(1+$G66,'05_Params'!$B$15/12)*MIN($E66,'05_Params'!$B$15*30.44)*(1+$F66)</f>
        <v/>
      </c>
      <c r="K66" s="68">
        <f>$C66+$D66*'05_Params'!$B$4*POWER(1+$G66,'05_Params'!$B$16/12)*MIN($E66,'05_Params'!$B$16*30.44)*(1+$F66)</f>
        <v/>
      </c>
      <c r="L66" s="98">
        <f>IFERROR(INDEX('05_Params'!$G$4:$G$23,COUNTIF('05_Params'!$G$4:$G$23,"&lt;"&amp;K66/(1-'05_Params'!$B$8))+1),CEILING(K66/(1-'05_Params'!$B$8),64))</f>
        <v/>
      </c>
      <c r="M66" s="99" t="inlineStr">
        <is>
          <t>ปริมาณข้อมูลน้อย ไม่ต้องมีนโยบายเฉพาะ — รวมอยู่ใน Disk OS ได้</t>
        </is>
      </c>
    </row>
    <row r="67" ht="34" customHeight="1">
      <c r="A67" s="109" t="inlineStr">
        <is>
          <t>azure-kubernetes-service</t>
        </is>
      </c>
      <c r="B67" s="110" t="inlineStr">
        <is>
          <t>Azure Kubernetes Service (AKS)</t>
        </is>
      </c>
      <c r="C67" s="109" t="n">
        <v>0</v>
      </c>
      <c r="D67" s="109" t="n">
        <v>0.1</v>
      </c>
      <c r="E67" s="109" t="n">
        <v>90</v>
      </c>
      <c r="F67" s="111" t="n">
        <v>0.1</v>
      </c>
      <c r="G67" s="111" t="n">
        <v>0.25</v>
      </c>
      <c r="H67" s="72">
        <f>$C67+$D67*'05_Params'!$B$4*POWER(1+$G67,'05_Params'!$B$13/12)*MIN($E67,'05_Params'!$B$13*30.44)*(1+$F67)</f>
        <v/>
      </c>
      <c r="I67" s="72">
        <f>$C67+$D67*'05_Params'!$B$4*POWER(1+$G67,'05_Params'!$B$14/12)*MIN($E67,'05_Params'!$B$14*30.44)*(1+$F67)</f>
        <v/>
      </c>
      <c r="J67" s="72">
        <f>$C67+$D67*'05_Params'!$B$4*POWER(1+$G67,'05_Params'!$B$15/12)*MIN($E67,'05_Params'!$B$15*30.44)*(1+$F67)</f>
        <v/>
      </c>
      <c r="K67" s="72">
        <f>$C67+$D67*'05_Params'!$B$4*POWER(1+$G67,'05_Params'!$B$16/12)*MIN($E67,'05_Params'!$B$16*30.44)*(1+$F67)</f>
        <v/>
      </c>
      <c r="L67" s="98">
        <f>IFERROR(INDEX('05_Params'!$G$4:$G$23,COUNTIF('05_Params'!$G$4:$G$23,"&lt;"&amp;K67/(1-'05_Params'!$B$8))+1),CEILING(K67/(1-'05_Params'!$B$8),64))</f>
        <v/>
      </c>
      <c r="M67" s="99" t="inlineStr">
        <is>
          <t>ปริมาณข้อมูลน้อย ไม่ต้องมีนโยบายเฉพาะ — รวมอยู่ใน Disk OS ได้</t>
        </is>
      </c>
    </row>
    <row r="68" ht="34" customHeight="1">
      <c r="A68" s="109" t="inlineStr">
        <is>
          <t>aws-eks</t>
        </is>
      </c>
      <c r="B68" s="110" t="inlineStr">
        <is>
          <t>Amazon Elastic Kubernetes Service (EKS)</t>
        </is>
      </c>
      <c r="C68" s="109" t="n">
        <v>0</v>
      </c>
      <c r="D68" s="109" t="n">
        <v>0.1</v>
      </c>
      <c r="E68" s="109" t="n">
        <v>90</v>
      </c>
      <c r="F68" s="111" t="n">
        <v>0.1</v>
      </c>
      <c r="G68" s="111" t="n">
        <v>0.25</v>
      </c>
      <c r="H68" s="72">
        <f>$C68+$D68*'05_Params'!$B$4*POWER(1+$G68,'05_Params'!$B$13/12)*MIN($E68,'05_Params'!$B$13*30.44)*(1+$F68)</f>
        <v/>
      </c>
      <c r="I68" s="72">
        <f>$C68+$D68*'05_Params'!$B$4*POWER(1+$G68,'05_Params'!$B$14/12)*MIN($E68,'05_Params'!$B$14*30.44)*(1+$F68)</f>
        <v/>
      </c>
      <c r="J68" s="72">
        <f>$C68+$D68*'05_Params'!$B$4*POWER(1+$G68,'05_Params'!$B$15/12)*MIN($E68,'05_Params'!$B$15*30.44)*(1+$F68)</f>
        <v/>
      </c>
      <c r="K68" s="72">
        <f>$C68+$D68*'05_Params'!$B$4*POWER(1+$G68,'05_Params'!$B$16/12)*MIN($E68,'05_Params'!$B$16*30.44)*(1+$F68)</f>
        <v/>
      </c>
      <c r="L68" s="98">
        <f>IFERROR(INDEX('05_Params'!$G$4:$G$23,COUNTIF('05_Params'!$G$4:$G$23,"&lt;"&amp;K68/(1-'05_Params'!$B$8))+1),CEILING(K68/(1-'05_Params'!$B$8),64))</f>
        <v/>
      </c>
      <c r="M68" s="99" t="inlineStr">
        <is>
          <t>ปริมาณข้อมูลน้อย ไม่ต้องมีนโยบายเฉพาะ — รวมอยู่ใน Disk OS ได้</t>
        </is>
      </c>
    </row>
    <row r="69" ht="34" customHeight="1">
      <c r="A69" s="109" t="inlineStr">
        <is>
          <t>gcp-gke</t>
        </is>
      </c>
      <c r="B69" s="110" t="inlineStr">
        <is>
          <t>Google Kubernetes Engine (GKE)</t>
        </is>
      </c>
      <c r="C69" s="109" t="n">
        <v>0</v>
      </c>
      <c r="D69" s="109" t="n">
        <v>0.1</v>
      </c>
      <c r="E69" s="109" t="n">
        <v>90</v>
      </c>
      <c r="F69" s="111" t="n">
        <v>0.1</v>
      </c>
      <c r="G69" s="111" t="n">
        <v>0.25</v>
      </c>
      <c r="H69" s="72">
        <f>$C69+$D69*'05_Params'!$B$4*POWER(1+$G69,'05_Params'!$B$13/12)*MIN($E69,'05_Params'!$B$13*30.44)*(1+$F69)</f>
        <v/>
      </c>
      <c r="I69" s="72">
        <f>$C69+$D69*'05_Params'!$B$4*POWER(1+$G69,'05_Params'!$B$14/12)*MIN($E69,'05_Params'!$B$14*30.44)*(1+$F69)</f>
        <v/>
      </c>
      <c r="J69" s="72">
        <f>$C69+$D69*'05_Params'!$B$4*POWER(1+$G69,'05_Params'!$B$15/12)*MIN($E69,'05_Params'!$B$15*30.44)*(1+$F69)</f>
        <v/>
      </c>
      <c r="K69" s="72">
        <f>$C69+$D69*'05_Params'!$B$4*POWER(1+$G69,'05_Params'!$B$16/12)*MIN($E69,'05_Params'!$B$16*30.44)*(1+$F69)</f>
        <v/>
      </c>
      <c r="L69" s="98">
        <f>IFERROR(INDEX('05_Params'!$G$4:$G$23,COUNTIF('05_Params'!$G$4:$G$23,"&lt;"&amp;K69/(1-'05_Params'!$B$8))+1),CEILING(K69/(1-'05_Params'!$B$8),64))</f>
        <v/>
      </c>
      <c r="M69" s="99" t="inlineStr">
        <is>
          <t>ปริมาณข้อมูลน้อย ไม่ต้องมีนโยบายเฉพาะ — รวมอยู่ใน Disk OS ได้</t>
        </is>
      </c>
    </row>
    <row r="70" ht="34" customHeight="1">
      <c r="A70" s="109" t="inlineStr">
        <is>
          <t>azure-key-vault</t>
        </is>
      </c>
      <c r="B70" s="110" t="inlineStr">
        <is>
          <t>Azure Key Vault</t>
        </is>
      </c>
      <c r="C70" s="109" t="n">
        <v>0</v>
      </c>
      <c r="D70" s="109" t="n">
        <v>0.01</v>
      </c>
      <c r="E70" s="109" t="n">
        <v>2555</v>
      </c>
      <c r="F70" s="111" t="n">
        <v>0.05</v>
      </c>
      <c r="G70" s="111" t="n">
        <v>0.1</v>
      </c>
      <c r="H70" s="72">
        <f>$C70+$D70*'05_Params'!$B$4*POWER(1+$G70,'05_Params'!$B$13/12)*MIN($E70,'05_Params'!$B$13*30.44)*(1+$F70)</f>
        <v/>
      </c>
      <c r="I70" s="72">
        <f>$C70+$D70*'05_Params'!$B$4*POWER(1+$G70,'05_Params'!$B$14/12)*MIN($E70,'05_Params'!$B$14*30.44)*(1+$F70)</f>
        <v/>
      </c>
      <c r="J70" s="72">
        <f>$C70+$D70*'05_Params'!$B$4*POWER(1+$G70,'05_Params'!$B$15/12)*MIN($E70,'05_Params'!$B$15*30.44)*(1+$F70)</f>
        <v/>
      </c>
      <c r="K70" s="72">
        <f>$C70+$D70*'05_Params'!$B$4*POWER(1+$G70,'05_Params'!$B$16/12)*MIN($E70,'05_Params'!$B$16*30.44)*(1+$F70)</f>
        <v/>
      </c>
      <c r="L70" s="98">
        <f>IFERROR(INDEX('05_Params'!$G$4:$G$23,COUNTIF('05_Params'!$G$4:$G$23,"&lt;"&amp;K70/(1-'05_Params'!$B$8))+1),CEILING(K70/(1-'05_Params'!$B$8),64))</f>
        <v/>
      </c>
      <c r="M70" s="99" t="inlineStr">
        <is>
          <t>ปริมาณข้อมูลน้อย ไม่ต้องมีนโยบายเฉพาะ — รวมอยู่ใน Disk OS ได้</t>
        </is>
      </c>
    </row>
    <row r="71" ht="34" customHeight="1">
      <c r="A71" s="109" t="inlineStr">
        <is>
          <t>aws-secrets-manager</t>
        </is>
      </c>
      <c r="B71" s="110" t="inlineStr">
        <is>
          <t>AWS Secrets Manager + KMS</t>
        </is>
      </c>
      <c r="C71" s="109" t="n">
        <v>0</v>
      </c>
      <c r="D71" s="109" t="n">
        <v>0.01</v>
      </c>
      <c r="E71" s="109" t="n">
        <v>2555</v>
      </c>
      <c r="F71" s="111" t="n">
        <v>0.05</v>
      </c>
      <c r="G71" s="111" t="n">
        <v>0.1</v>
      </c>
      <c r="H71" s="72">
        <f>$C71+$D71*'05_Params'!$B$4*POWER(1+$G71,'05_Params'!$B$13/12)*MIN($E71,'05_Params'!$B$13*30.44)*(1+$F71)</f>
        <v/>
      </c>
      <c r="I71" s="72">
        <f>$C71+$D71*'05_Params'!$B$4*POWER(1+$G71,'05_Params'!$B$14/12)*MIN($E71,'05_Params'!$B$14*30.44)*(1+$F71)</f>
        <v/>
      </c>
      <c r="J71" s="72">
        <f>$C71+$D71*'05_Params'!$B$4*POWER(1+$G71,'05_Params'!$B$15/12)*MIN($E71,'05_Params'!$B$15*30.44)*(1+$F71)</f>
        <v/>
      </c>
      <c r="K71" s="72">
        <f>$C71+$D71*'05_Params'!$B$4*POWER(1+$G71,'05_Params'!$B$16/12)*MIN($E71,'05_Params'!$B$16*30.44)*(1+$F71)</f>
        <v/>
      </c>
      <c r="L71" s="98">
        <f>IFERROR(INDEX('05_Params'!$G$4:$G$23,COUNTIF('05_Params'!$G$4:$G$23,"&lt;"&amp;K71/(1-'05_Params'!$B$8))+1),CEILING(K71/(1-'05_Params'!$B$8),64))</f>
        <v/>
      </c>
      <c r="M71" s="99" t="inlineStr">
        <is>
          <t>ปริมาณข้อมูลน้อย ไม่ต้องมีนโยบายเฉพาะ — รวมอยู่ใน Disk OS ได้</t>
        </is>
      </c>
    </row>
    <row r="72" ht="34" customHeight="1">
      <c r="A72" s="112" t="inlineStr">
        <is>
          <t>azure-monitor</t>
        </is>
      </c>
      <c r="B72" s="113" t="inlineStr">
        <is>
          <t>Azure Monitor + Log Analytics + Application Insights</t>
        </is>
      </c>
      <c r="C72" s="112" t="n">
        <v>0</v>
      </c>
      <c r="D72" s="112" t="n">
        <v>1</v>
      </c>
      <c r="E72" s="112" t="n">
        <v>90</v>
      </c>
      <c r="F72" s="114" t="n">
        <v>0.1</v>
      </c>
      <c r="G72" s="114" t="n">
        <v>0.3</v>
      </c>
      <c r="H72" s="76">
        <f>$C72+$D72*'05_Params'!$B$4*POWER(1+$G72,'05_Params'!$B$13/12)*MIN($E72,'05_Params'!$B$13*30.44)*(1+$F72)</f>
        <v/>
      </c>
      <c r="I72" s="76">
        <f>$C72+$D72*'05_Params'!$B$4*POWER(1+$G72,'05_Params'!$B$14/12)*MIN($E72,'05_Params'!$B$14*30.44)*(1+$F72)</f>
        <v/>
      </c>
      <c r="J72" s="76">
        <f>$C72+$D72*'05_Params'!$B$4*POWER(1+$G72,'05_Params'!$B$15/12)*MIN($E72,'05_Params'!$B$15*30.44)*(1+$F72)</f>
        <v/>
      </c>
      <c r="K72" s="76">
        <f>$C72+$D72*'05_Params'!$B$4*POWER(1+$G72,'05_Params'!$B$16/12)*MIN($E72,'05_Params'!$B$16*30.44)*(1+$F72)</f>
        <v/>
      </c>
      <c r="L72" s="98">
        <f>IFERROR(INDEX('05_Params'!$G$4:$G$23,COUNTIF('05_Params'!$G$4:$G$23,"&lt;"&amp;K72/(1-'05_Params'!$B$8))+1),CEILING(K72/(1-'05_Params'!$B$8),64))</f>
        <v/>
      </c>
      <c r="M72" s="99" t="inlineStr">
        <is>
          <t>ปริมาณข้อมูลน้อย ไม่ต้องมีนโยบายเฉพาะ — รวมอยู่ใน Disk OS ได้</t>
        </is>
      </c>
    </row>
    <row r="73" ht="34" customHeight="1">
      <c r="A73" s="112" t="inlineStr">
        <is>
          <t>aws-cloudwatch</t>
        </is>
      </c>
      <c r="B73" s="113" t="inlineStr">
        <is>
          <t>Amazon CloudWatch + CloudTrail + X-Ray</t>
        </is>
      </c>
      <c r="C73" s="112" t="n">
        <v>0</v>
      </c>
      <c r="D73" s="112" t="n">
        <v>1</v>
      </c>
      <c r="E73" s="112" t="n">
        <v>90</v>
      </c>
      <c r="F73" s="114" t="n">
        <v>0.1</v>
      </c>
      <c r="G73" s="114" t="n">
        <v>0.3</v>
      </c>
      <c r="H73" s="76">
        <f>$C73+$D73*'05_Params'!$B$4*POWER(1+$G73,'05_Params'!$B$13/12)*MIN($E73,'05_Params'!$B$13*30.44)*(1+$F73)</f>
        <v/>
      </c>
      <c r="I73" s="76">
        <f>$C73+$D73*'05_Params'!$B$4*POWER(1+$G73,'05_Params'!$B$14/12)*MIN($E73,'05_Params'!$B$14*30.44)*(1+$F73)</f>
        <v/>
      </c>
      <c r="J73" s="76">
        <f>$C73+$D73*'05_Params'!$B$4*POWER(1+$G73,'05_Params'!$B$15/12)*MIN($E73,'05_Params'!$B$15*30.44)*(1+$F73)</f>
        <v/>
      </c>
      <c r="K73" s="76">
        <f>$C73+$D73*'05_Params'!$B$4*POWER(1+$G73,'05_Params'!$B$16/12)*MIN($E73,'05_Params'!$B$16*30.44)*(1+$F73)</f>
        <v/>
      </c>
      <c r="L73" s="98">
        <f>IFERROR(INDEX('05_Params'!$G$4:$G$23,COUNTIF('05_Params'!$G$4:$G$23,"&lt;"&amp;K73/(1-'05_Params'!$B$8))+1),CEILING(K73/(1-'05_Params'!$B$8),64))</f>
        <v/>
      </c>
      <c r="M73" s="99" t="inlineStr">
        <is>
          <t>ปริมาณข้อมูลน้อย ไม่ต้องมีนโยบายเฉพาะ — รวมอยู่ใน Disk OS ได้</t>
        </is>
      </c>
    </row>
    <row r="74" ht="34" customHeight="1">
      <c r="A74" s="112" t="inlineStr">
        <is>
          <t>gcp-cloud-operations</t>
        </is>
      </c>
      <c r="B74" s="113" t="inlineStr">
        <is>
          <t>Google Cloud Operations (Logging + Monitoring + Trace)</t>
        </is>
      </c>
      <c r="C74" s="112" t="n">
        <v>0</v>
      </c>
      <c r="D74" s="112" t="n">
        <v>1</v>
      </c>
      <c r="E74" s="112" t="n">
        <v>90</v>
      </c>
      <c r="F74" s="114" t="n">
        <v>0.1</v>
      </c>
      <c r="G74" s="114" t="n">
        <v>0.3</v>
      </c>
      <c r="H74" s="76">
        <f>$C74+$D74*'05_Params'!$B$4*POWER(1+$G74,'05_Params'!$B$13/12)*MIN($E74,'05_Params'!$B$13*30.44)*(1+$F74)</f>
        <v/>
      </c>
      <c r="I74" s="76">
        <f>$C74+$D74*'05_Params'!$B$4*POWER(1+$G74,'05_Params'!$B$14/12)*MIN($E74,'05_Params'!$B$14*30.44)*(1+$F74)</f>
        <v/>
      </c>
      <c r="J74" s="76">
        <f>$C74+$D74*'05_Params'!$B$4*POWER(1+$G74,'05_Params'!$B$15/12)*MIN($E74,'05_Params'!$B$15*30.44)*(1+$F74)</f>
        <v/>
      </c>
      <c r="K74" s="76">
        <f>$C74+$D74*'05_Params'!$B$4*POWER(1+$G74,'05_Params'!$B$16/12)*MIN($E74,'05_Params'!$B$16*30.44)*(1+$F74)</f>
        <v/>
      </c>
      <c r="L74" s="98">
        <f>IFERROR(INDEX('05_Params'!$G$4:$G$23,COUNTIF('05_Params'!$G$4:$G$23,"&lt;"&amp;K74/(1-'05_Params'!$B$8))+1),CEILING(K74/(1-'05_Params'!$B$8),64))</f>
        <v/>
      </c>
      <c r="M74" s="99" t="inlineStr">
        <is>
          <t>ปริมาณข้อมูลน้อย ไม่ต้องมีนโยบายเฉพาะ — รวมอยู่ใน Disk OS ได้</t>
        </is>
      </c>
    </row>
    <row r="75">
      <c r="B75" s="40" t="inlineStr">
        <is>
          <t>รวมทุกเครื่องมือ (กรณีติดตั้งครบทุกตัว)</t>
        </is>
      </c>
      <c r="C75" s="115">
        <f>SUM(C3:C74)</f>
        <v/>
      </c>
      <c r="H75" s="115">
        <f>SUM(H3:H74)</f>
        <v/>
      </c>
      <c r="I75" s="115">
        <f>SUM(I3:I74)</f>
        <v/>
      </c>
      <c r="J75" s="115">
        <f>SUM(J3:J74)</f>
        <v/>
      </c>
      <c r="K75" s="115">
        <f>SUM(K3:K74)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62" customWidth="1" min="4" max="4"/>
    <col width="52" customWidth="1" min="5" max="5"/>
    <col width="34" customWidth="1" min="6" max="6"/>
    <col width="12" customWidth="1" min="7" max="7"/>
    <col width="34" customWidth="1" min="8" max="8"/>
    <col width="78" customWidth="1" min="9" max="9"/>
  </cols>
  <sheetData>
    <row r="1" ht="24" customHeight="1">
      <c r="A1" s="8" t="inlineStr">
        <is>
          <t>07 — มาตรการที่ต้องทำ (Controls) และสถานะตามเครื่องมือที่เลือก</t>
        </is>
      </c>
      <c r="C1" s="3" t="inlineStr">
        <is>
          <t>1 แถว = 1 มาตรการ · มาตรฐานหลายฉบับอ้างมาตรการเดียวกันได้ ดูเลขข้อในคอลัมน์ท้าย</t>
        </is>
      </c>
    </row>
    <row r="2" ht="42" customHeight="1">
      <c r="A2" s="9" t="inlineStr">
        <is>
          <t>control_id</t>
        </is>
      </c>
      <c r="B2" s="9" t="inlineStr">
        <is>
          <t>กลุ่มมาตรการ</t>
        </is>
      </c>
      <c r="C2" s="9" t="inlineStr">
        <is>
          <t>ระดับบังคับ</t>
        </is>
      </c>
      <c r="D2" s="9" t="inlineStr">
        <is>
          <t>มาตรการที่ต้องทำ</t>
        </is>
      </c>
      <c r="E2" s="9" t="inlineStr">
        <is>
          <t>คำอธิบายเพิ่มเติม</t>
        </is>
      </c>
      <c r="F2" s="9" t="inlineStr">
        <is>
          <t>Capability ที่ต้องมี</t>
        </is>
      </c>
      <c r="G2" s="9" t="inlineStr">
        <is>
          <t>สถานะ</t>
        </is>
      </c>
      <c r="H2" s="9" t="inlineStr">
        <is>
          <t>Capability ที่ยังขาด</t>
        </is>
      </c>
      <c r="I2" s="9" t="inlineStr">
        <is>
          <t>มาตรฐานที่อ้างมาตรการนี้ (เลขข้อ)</t>
        </is>
      </c>
    </row>
    <row r="3" ht="34" customHeight="1">
      <c r="A3" s="116" t="inlineStr">
        <is>
          <t>C-SDLC-REVIEW</t>
        </is>
      </c>
      <c r="B3" s="117" t="inlineStr">
        <is>
          <t>กระบวนการพัฒนาและ Pipeline</t>
        </is>
      </c>
      <c r="C3" s="116" t="inlineStr">
        <is>
          <t>บังคับ</t>
        </is>
      </c>
      <c r="D3" s="118" t="inlineStr">
        <is>
          <t>โค้ดต้องผ่าน Code Review และ Status Check ก่อน Merge เข้า main</t>
        </is>
      </c>
      <c r="E3" s="119" t="inlineStr">
        <is>
          <t>ภาครัฐบังคับอย่างน้อย 2 ผู้อนุมัติ และห้าม merge โค้ดที่ตกเกณฑ์</t>
        </is>
      </c>
      <c r="F3" s="119" t="inlineStr">
        <is>
          <t>git_scm, branch_protection, quality_gate</t>
        </is>
      </c>
      <c r="G3" s="120">
        <f>IF(('08_Tool_Capability'!C$76+'08_Tool_Capability'!E$76+'08_Tool_Capability'!AB$76)&gt;=3,"ผ่าน","ไม่ผ่าน")</f>
        <v/>
      </c>
      <c r="H3" s="121">
        <f>IF('08_Tool_Capability'!C$76=0,"git_scm ","")&amp;IF('08_Tool_Capability'!E$76=0,"branch_protection ","")&amp;IF('08_Tool_Capability'!AB$76=0,"quality_gate ","")</f>
        <v/>
      </c>
      <c r="I3" s="99" t="inlineStr">
        <is>
          <t>ISO/IEC 27001:2022 — A.8.25, A.8.28
OWASP SAMM 2 — Implementation — Secure Build
NIST SSDF (SP 800-218) — PW.7 Review Human-Readable Code
SOC 2 (TSC) — CC8 Change Management</t>
        </is>
      </c>
    </row>
    <row r="4" ht="34" customHeight="1">
      <c r="A4" s="116" t="inlineStr">
        <is>
          <t>C-SDLC-TRACE</t>
        </is>
      </c>
      <c r="B4" s="117" t="inlineStr">
        <is>
          <t>กระบวนการพัฒนาและ Pipeline</t>
        </is>
      </c>
      <c r="C4" s="116" t="inlineStr">
        <is>
          <t>บังคับ</t>
        </is>
      </c>
      <c r="D4" s="118" t="inlineStr">
        <is>
          <t>Pipeline ทำงานอัตโนมัติและตรวจสอบย้อนหลังได้ 100% (Traceability)</t>
        </is>
      </c>
      <c r="E4" s="119" t="inlineStr">
        <is>
          <t>ต้องรู้ได้ว่า artifact ที่ขึ้น production มาจาก commit ใด ผ่านขั้นตอนอะไร ใครอนุมัติ</t>
        </is>
      </c>
      <c r="F4" s="119" t="inlineStr">
        <is>
          <t>pipeline, webhook, audit_trail, version_tag</t>
        </is>
      </c>
      <c r="G4" s="120">
        <f>IF(('08_Tool_Capability'!F$76+'08_Tool_Capability'!D$76+'08_Tool_Capability'!Y$76+'08_Tool_Capability'!W$76)&gt;=4,"ผ่าน","ไม่ผ่าน")</f>
        <v/>
      </c>
      <c r="H4" s="121">
        <f>IF('08_Tool_Capability'!F$76=0,"pipeline ","")&amp;IF('08_Tool_Capability'!D$76=0,"webhook ","")&amp;IF('08_Tool_Capability'!Y$76=0,"audit_trail ","")&amp;IF('08_Tool_Capability'!W$76=0,"version_tag ","")</f>
        <v/>
      </c>
      <c r="I4" s="99" t="inlineStr">
        <is>
          <t>พ.ร.บ. ปฏิบัติราชการทางอิเล็กทรอนิกส์ 2565 — ความน่าเชื่อถือของระบบ
มาตรฐานข้อมูลเปิดภาครัฐ — ที่มาของข้อมูล (Provenance)
NIST SSDF (SP 800-218) — PO.3 Implement Supporting Toolchains
SLSA v1.0 — Provenance Available</t>
        </is>
      </c>
    </row>
    <row r="5" ht="34" customHeight="1">
      <c r="A5" s="116" t="inlineStr">
        <is>
          <t>C-SDLC-SAST</t>
        </is>
      </c>
      <c r="B5" s="117" t="inlineStr">
        <is>
          <t>กระบวนการพัฒนาและ Pipeline</t>
        </is>
      </c>
      <c r="C5" s="116" t="inlineStr">
        <is>
          <t>บังคับ</t>
        </is>
      </c>
      <c r="D5" s="118" t="inlineStr">
        <is>
          <t>สแกนหาช่องโหว่ในซอร์สโค้ดแบบ Static (SAST) ทุกรอบ</t>
        </is>
      </c>
      <c r="E5" s="119" t="inlineStr">
        <is>
          <t>ตั้งเป็น Blocking Gate สำหรับช่องโหว่ระดับ Critical/High</t>
        </is>
      </c>
      <c r="F5" s="119" t="inlineStr">
        <is>
          <t>sast</t>
        </is>
      </c>
      <c r="G5" s="120">
        <f>IF(('08_Tool_Capability'!G$76)&gt;=1,"ผ่าน","ไม่ผ่าน")</f>
        <v/>
      </c>
      <c r="H5" s="121">
        <f>IF('08_Tool_Capability'!G$76=0,"sast ","")</f>
        <v/>
      </c>
      <c r="I5" s="99" t="inlineStr">
        <is>
          <t>มาตรฐานเว็บไซต์ 2568 — Secure Coding
ขมธอ. ความมั่นคงปลอดภัยสารสนเทศ — การพัฒนาซอฟต์แวร์อย่างปลอดภัย
ISO/IEC 27002:2022 — 8.28
ISO/IEC 27034 — ASC
OWASP SAMM 2 — Verification — Security Testing
NIST SSDF (SP 800-218) — PW.8 Test Executable Code
NIST SP 800-53r5 — SA-11
CIS Controls v8.1 — Control 16 Application Software Security
PCI DSS v4.0 — Req 6.2 Secure development</t>
        </is>
      </c>
    </row>
    <row r="6" ht="34" customHeight="1">
      <c r="A6" s="116" t="inlineStr">
        <is>
          <t>C-SDLC-SECRET</t>
        </is>
      </c>
      <c r="B6" s="117" t="inlineStr">
        <is>
          <t>กระบวนการพัฒนาและ Pipeline</t>
        </is>
      </c>
      <c r="C6" s="116" t="inlineStr">
        <is>
          <t>บังคับ</t>
        </is>
      </c>
      <c r="D6" s="118" t="inlineStr">
        <is>
          <t>ห้าม Credential / Secret หลุดไปกับซอร์สโค้ดหรือ Log</t>
        </is>
      </c>
      <c r="E6" s="119" t="inlineStr">
        <is>
          <t>ต้องมี Secret Scanning ใน Pipeline และเก็บ Secret ใน Secret Manager</t>
        </is>
      </c>
      <c r="F6" s="119" t="inlineStr">
        <is>
          <t>secret_scan, secret_mgmt</t>
        </is>
      </c>
      <c r="G6" s="120">
        <f>IF(('08_Tool_Capability'!H$76+'08_Tool_Capability'!AG$76)&gt;=2,"ผ่าน","ไม่ผ่าน")</f>
        <v/>
      </c>
      <c r="H6" s="121">
        <f>IF('08_Tool_Capability'!H$76=0,"secret_scan ","")&amp;IF('08_Tool_Capability'!AG$76=0,"secret_mgmt ","")</f>
        <v/>
      </c>
      <c r="I6" s="99" t="inlineStr">
        <is>
          <t>ISO/IEC 27002:2022 — 8.24</t>
        </is>
      </c>
    </row>
    <row r="7" ht="34" customHeight="1">
      <c r="A7" s="116" t="inlineStr">
        <is>
          <t>C-SDLC-QUALITY</t>
        </is>
      </c>
      <c r="B7" s="117" t="inlineStr">
        <is>
          <t>กระบวนการพัฒนาและ Pipeline</t>
        </is>
      </c>
      <c r="C7" s="116" t="inlineStr">
        <is>
          <t>บังคับ</t>
        </is>
      </c>
      <c r="D7" s="118" t="inlineStr">
        <is>
          <t>วัดคุณภาพโค้ดและ Test Coverage ตามเกณฑ์ที่กำหนด</t>
        </is>
      </c>
      <c r="E7" s="119" t="inlineStr">
        <is>
          <t>ภาครัฐมักกำหนด Coverage มากกว่า 80% และ Technical Debt ในระดับที่ยอมรับได้</t>
        </is>
      </c>
      <c r="F7" s="119" t="inlineStr">
        <is>
          <t>code_quality, unit_test</t>
        </is>
      </c>
      <c r="G7" s="120">
        <f>IF(('08_Tool_Capability'!K$76+'08_Tool_Capability'!Q$76)&gt;=2,"ผ่าน","ไม่ผ่าน")</f>
        <v/>
      </c>
      <c r="H7" s="121">
        <f>IF('08_Tool_Capability'!K$76=0,"code_quality ","")&amp;IF('08_Tool_Capability'!Q$76=0,"unit_test ","")</f>
        <v/>
      </c>
      <c r="I7" s="99" t="inlineStr">
        <is>
          <t>ISO/IEC 25010:2023 — Maintainability</t>
        </is>
      </c>
    </row>
    <row r="8" ht="34" customHeight="1">
      <c r="A8" s="116" t="inlineStr">
        <is>
          <t>C-SDLC-TEST</t>
        </is>
      </c>
      <c r="B8" s="117" t="inlineStr">
        <is>
          <t>กระบวนการพัฒนาและ Pipeline</t>
        </is>
      </c>
      <c r="C8" s="116" t="inlineStr">
        <is>
          <t>บังคับ</t>
        </is>
      </c>
      <c r="D8" s="118" t="inlineStr">
        <is>
          <t>ต้องมี Unit Test และ Integration Test ก่อนขึ้นระบบ</t>
        </is>
      </c>
      <c r="E8" s="119" t="inlineStr"/>
      <c r="F8" s="119" t="inlineStr">
        <is>
          <t>unit_test, integration_test</t>
        </is>
      </c>
      <c r="G8" s="120">
        <f>IF(('08_Tool_Capability'!Q$76+'08_Tool_Capability'!R$76)&gt;=2,"ผ่าน","ไม่ผ่าน")</f>
        <v/>
      </c>
      <c r="H8" s="121">
        <f>IF('08_Tool_Capability'!Q$76=0,"unit_test ","")&amp;IF('08_Tool_Capability'!R$76=0,"integration_test ","")</f>
        <v/>
      </c>
      <c r="I8" s="99" t="inlineStr">
        <is>
          <t>ISO/IEC 27001:2022 — A.8.29
ISO/IEC 27034 — Verification
ISO/IEC 25010:2023 — Functional Suitability
NIST SSDF (SP 800-218) — PW.8 Test Executable Code</t>
        </is>
      </c>
    </row>
    <row r="9" ht="34" customHeight="1">
      <c r="A9" s="116" t="inlineStr">
        <is>
          <t>C-SDLC-THREAT</t>
        </is>
      </c>
      <c r="B9" s="117" t="inlineStr">
        <is>
          <t>กระบวนการพัฒนาและ Pipeline</t>
        </is>
      </c>
      <c r="C9" s="116" t="inlineStr">
        <is>
          <t>แนะนำ</t>
        </is>
      </c>
      <c r="D9" s="118" t="inlineStr">
        <is>
          <t>ทำ Threat Modeling และ Security Architecture Review ตั้งแต่ออกแบบ</t>
        </is>
      </c>
      <c r="E9" s="119" t="inlineStr">
        <is>
          <t>ใช้ STRIDE / PASTA และทบทวนเมื่อสถาปัตยกรรมเปลี่ยน</t>
        </is>
      </c>
      <c r="F9" s="119" t="inlineStr">
        <is>
          <t>code_quality, quality_gate</t>
        </is>
      </c>
      <c r="G9" s="120">
        <f>IF(('08_Tool_Capability'!K$76+'08_Tool_Capability'!AB$76)&gt;=2,"ผ่าน","ไม่ผ่าน")</f>
        <v/>
      </c>
      <c r="H9" s="121">
        <f>IF('08_Tool_Capability'!K$76=0,"code_quality ","")&amp;IF('08_Tool_Capability'!AB$76=0,"quality_gate ","")</f>
        <v/>
      </c>
      <c r="I9" s="99" t="inlineStr">
        <is>
          <t>ISO/IEC 27001:2022 — A.8.27
ISO/IEC 27034 — Application Security Life Cycle
OWASP Top 10:2025 — A06 Insecure Design
OWASP SAMM 2 — Design — Threat Assessment</t>
        </is>
      </c>
    </row>
    <row r="10" ht="34" customHeight="1">
      <c r="A10" s="116" t="inlineStr">
        <is>
          <t>C-APP-ACCESS</t>
        </is>
      </c>
      <c r="B10" s="117" t="inlineStr">
        <is>
          <t>ความปลอดภัยของแอปพลิเคชัน</t>
        </is>
      </c>
      <c r="C10" s="116" t="inlineStr">
        <is>
          <t>บังคับ</t>
        </is>
      </c>
      <c r="D10" s="118" t="inlineStr">
        <is>
          <t>ควบคุมสิทธิ์การเข้าถึงฝั่ง Server ทุก Request (รวมป้องกัน SSRF)</t>
        </is>
      </c>
      <c r="E10" s="119" t="inlineStr">
        <is>
          <t>deny-by-default, ตรวจ authorization ทุกครั้ง, ใช้ allowlist ปลายทางกัน SSRF</t>
        </is>
      </c>
      <c r="F10" s="119" t="inlineStr">
        <is>
          <t>sast, api_security, dast</t>
        </is>
      </c>
      <c r="G10" s="120">
        <f>IF(('08_Tool_Capability'!G$76+'08_Tool_Capability'!T$76+'08_Tool_Capability'!S$76)&gt;=3,"ผ่าน","ไม่ผ่าน")</f>
        <v/>
      </c>
      <c r="H10" s="121">
        <f>IF('08_Tool_Capability'!G$76=0,"sast ","")&amp;IF('08_Tool_Capability'!T$76=0,"api_security ","")&amp;IF('08_Tool_Capability'!S$76=0,"dast ","")</f>
        <v/>
      </c>
      <c r="I10" s="99" t="inlineStr">
        <is>
          <t>OWASP Top 10:2025 — A01 Broken Access Control (รวม SSRF)
OWASP ASVS 5.0 — V4 Access Control
OWASP API Top 10:2023 — API1 BOLA / API3 BOPLA</t>
        </is>
      </c>
    </row>
    <row r="11" ht="34" customHeight="1">
      <c r="A11" s="116" t="inlineStr">
        <is>
          <t>C-APP-INJECT</t>
        </is>
      </c>
      <c r="B11" s="117" t="inlineStr">
        <is>
          <t>ความปลอดภัยของแอปพลิเคชัน</t>
        </is>
      </c>
      <c r="C11" s="116" t="inlineStr">
        <is>
          <t>บังคับ</t>
        </is>
      </c>
      <c r="D11" s="118" t="inlineStr">
        <is>
          <t>ป้องกัน Injection ทุกรูปแบบ (SQL, Command, XSS)</t>
        </is>
      </c>
      <c r="E11" s="119" t="inlineStr">
        <is>
          <t>parameterized query, allowlist validation, output encoding, CSP header</t>
        </is>
      </c>
      <c r="F11" s="119" t="inlineStr">
        <is>
          <t>sast, dast</t>
        </is>
      </c>
      <c r="G11" s="120">
        <f>IF(('08_Tool_Capability'!G$76+'08_Tool_Capability'!S$76)&gt;=2,"ผ่าน","ไม่ผ่าน")</f>
        <v/>
      </c>
      <c r="H11" s="121">
        <f>IF('08_Tool_Capability'!G$76=0,"sast ","")&amp;IF('08_Tool_Capability'!S$76=0,"dast ","")</f>
        <v/>
      </c>
      <c r="I11" s="99" t="inlineStr">
        <is>
          <t>OWASP Top 10:2025 — A05 Injection
OWASP ASVS 5.0 — V5 Validation &amp; Encoding</t>
        </is>
      </c>
    </row>
    <row r="12" ht="34" customHeight="1">
      <c r="A12" s="116" t="inlineStr">
        <is>
          <t>C-APP-AUTHN</t>
        </is>
      </c>
      <c r="B12" s="117" t="inlineStr">
        <is>
          <t>ความปลอดภัยของแอปพลิเคชัน</t>
        </is>
      </c>
      <c r="C12" s="116" t="inlineStr">
        <is>
          <t>บังคับ</t>
        </is>
      </c>
      <c r="D12" s="118" t="inlineStr">
        <is>
          <t>Authentication ปลอดภัย: hashing ที่แข็งแรง, session rotation, rate limiting</t>
        </is>
      </c>
      <c r="E12" s="119" t="inlineStr"/>
      <c r="F12" s="119" t="inlineStr">
        <is>
          <t>iam_mfa, api_security</t>
        </is>
      </c>
      <c r="G12" s="120">
        <f>IF(('08_Tool_Capability'!AN$76+'08_Tool_Capability'!T$76)&gt;=2,"ผ่าน","ไม่ผ่าน")</f>
        <v/>
      </c>
      <c r="H12" s="121">
        <f>IF('08_Tool_Capability'!AN$76=0,"iam_mfa ","")&amp;IF('08_Tool_Capability'!T$76=0,"api_security ","")</f>
        <v/>
      </c>
      <c r="I12" s="99" t="inlineStr">
        <is>
          <t>OWASP Top 10:2025 — A07 Authentication Failures
OWASP ASVS 5.0 — V2 Authentication
OWASP API Top 10:2023 — API2 Broken Authentication
OWASP MASVS — MASVS-AUTH
NIST SP 800-63B — 5.1 Authenticator Requirements</t>
        </is>
      </c>
    </row>
    <row r="13" ht="34" customHeight="1">
      <c r="A13" s="116" t="inlineStr">
        <is>
          <t>C-APP-ERROR</t>
        </is>
      </c>
      <c r="B13" s="117" t="inlineStr">
        <is>
          <t>ความปลอดภัยของแอปพลิเคชัน</t>
        </is>
      </c>
      <c r="C13" s="116" t="inlineStr">
        <is>
          <t>แนะนำ</t>
        </is>
      </c>
      <c r="D13" s="118" t="inlineStr">
        <is>
          <t>จัดการข้อผิดพลาดแบบ fail-safe ไม่เปิดเผย stack trace</t>
        </is>
      </c>
      <c r="E13" s="119" t="inlineStr"/>
      <c r="F13" s="119" t="inlineStr">
        <is>
          <t>sast, code_quality</t>
        </is>
      </c>
      <c r="G13" s="120">
        <f>IF(('08_Tool_Capability'!G$76+'08_Tool_Capability'!K$76)&gt;=2,"ผ่าน","ไม่ผ่าน")</f>
        <v/>
      </c>
      <c r="H13" s="121">
        <f>IF('08_Tool_Capability'!G$76=0,"sast ","")&amp;IF('08_Tool_Capability'!K$76=0,"code_quality ","")</f>
        <v/>
      </c>
      <c r="I13" s="99" t="inlineStr">
        <is>
          <t>OWASP Top 10:2025 — A10 Mishandling of Exceptional Conditions
OWASP ASVS 5.0 — V7 Error Handling &amp; Logging
OWASP MASVS — MASVS-CODE</t>
        </is>
      </c>
    </row>
    <row r="14" ht="34" customHeight="1">
      <c r="A14" s="116" t="inlineStr">
        <is>
          <t>C-APP-DAST</t>
        </is>
      </c>
      <c r="B14" s="117" t="inlineStr">
        <is>
          <t>ความปลอดภัยของแอปพลิเคชัน</t>
        </is>
      </c>
      <c r="C14" s="116" t="inlineStr">
        <is>
          <t>บังคับ</t>
        </is>
      </c>
      <c r="D14" s="118" t="inlineStr">
        <is>
          <t>ทดสอบความปลอดภัยกับระบบที่รันอยู่จริง (DAST)</t>
        </is>
      </c>
      <c r="E14" s="119" t="inlineStr">
        <is>
          <t>ต้องรันบน Staging/UAT ที่มีข้อมูลเสมือนจริง ไม่ยิงจากเครื่องเดียวกับ target</t>
        </is>
      </c>
      <c r="F14" s="119" t="inlineStr">
        <is>
          <t>dast</t>
        </is>
      </c>
      <c r="G14" s="120">
        <f>IF(('08_Tool_Capability'!S$76)&gt;=1,"ผ่าน","ไม่ผ่าน")</f>
        <v/>
      </c>
      <c r="H14" s="121">
        <f>IF('08_Tool_Capability'!S$76=0,"dast ","")</f>
        <v/>
      </c>
      <c r="I14" s="99" t="inlineStr">
        <is>
          <t>ISO/IEC 27034 — Verification
OWASP SAMM 2 — Verification — Security Testing</t>
        </is>
      </c>
    </row>
    <row r="15" ht="34" customHeight="1">
      <c r="A15" s="116" t="inlineStr">
        <is>
          <t>C-APP-API</t>
        </is>
      </c>
      <c r="B15" s="117" t="inlineStr">
        <is>
          <t>ความปลอดภัยของแอปพลิเคชัน</t>
        </is>
      </c>
      <c r="C15" s="116" t="inlineStr">
        <is>
          <t>บังคับ</t>
        </is>
      </c>
      <c r="D15" s="118" t="inlineStr">
        <is>
          <t>ทดสอบความปลอดภัยของ API (Authn, RBAC, Input Validation, Fuzzing)</t>
        </is>
      </c>
      <c r="E15" s="119" t="inlineStr"/>
      <c r="F15" s="119" t="inlineStr">
        <is>
          <t>api_security</t>
        </is>
      </c>
      <c r="G15" s="120">
        <f>IF(('08_Tool_Capability'!T$76)&gt;=1,"ผ่าน","ไม่ผ่าน")</f>
        <v/>
      </c>
      <c r="H15" s="121">
        <f>IF('08_Tool_Capability'!T$76=0,"api_security ","")</f>
        <v/>
      </c>
      <c r="I15" s="99" t="inlineStr">
        <is>
          <t>OWASP API Top 10:2023 — API1-API10</t>
        </is>
      </c>
    </row>
    <row r="16" ht="34" customHeight="1">
      <c r="A16" s="116" t="inlineStr">
        <is>
          <t>C-APP-PENTEST</t>
        </is>
      </c>
      <c r="B16" s="117" t="inlineStr">
        <is>
          <t>ความปลอดภัยของแอปพลิเคชัน</t>
        </is>
      </c>
      <c r="C16" s="116" t="inlineStr">
        <is>
          <t>บังคับเมื่อผลกระทบสูง</t>
        </is>
      </c>
      <c r="D16" s="118" t="inlineStr">
        <is>
          <t>ประเมินช่องโหว่และทดสอบเจาะระบบ (VAPT) ก่อน Go-Live และเป็นระยะ</t>
        </is>
      </c>
      <c r="E16" s="119" t="inlineStr"/>
      <c r="F16" s="119" t="inlineStr">
        <is>
          <t>vapt, dast</t>
        </is>
      </c>
      <c r="G16" s="120">
        <f>IF(('08_Tool_Capability'!AP$76+'08_Tool_Capability'!S$76)&gt;=2,"ผ่าน","ไม่ผ่าน")</f>
        <v/>
      </c>
      <c r="H16" s="121">
        <f>IF('08_Tool_Capability'!AP$76=0,"vapt ","")&amp;IF('08_Tool_Capability'!S$76=0,"dast ","")</f>
        <v/>
      </c>
      <c r="I16" s="99" t="inlineStr">
        <is>
          <t>พ.ร.บ. ไซเบอร์ 2562 — ม.54-57
มาตรฐานขั้นต่ำ 2566 — ระดับสูง — VAPT
มาตรฐานเว็บไซต์ 2568 — Penetration Testing
กรอบมาตรฐานไซเบอร์ 2564 — การประเมินความเสี่ยง
ISO/IEC 27001:2022 — A.8.8
NIST SP 800-53r5 — CA-8
CIS Controls v8.1 — Control 18 Penetration Testing
PCI DSS v4.0 — Req 11.4 Penetration testing</t>
        </is>
      </c>
    </row>
    <row r="17" ht="34" customHeight="1">
      <c r="A17" s="116" t="inlineStr">
        <is>
          <t>C-APP-WAF</t>
        </is>
      </c>
      <c r="B17" s="117" t="inlineStr">
        <is>
          <t>ความปลอดภัยของแอปพลิเคชัน</t>
        </is>
      </c>
      <c r="C17" s="116" t="inlineStr">
        <is>
          <t>บังคับ</t>
        </is>
      </c>
      <c r="D17" s="118" t="inlineStr">
        <is>
          <t>ติดตั้ง Web Application Firewall หน้าระบบที่เปิดสู่ภายนอก</t>
        </is>
      </c>
      <c r="E17" s="119" t="inlineStr"/>
      <c r="F17" s="119" t="inlineStr">
        <is>
          <t>waf</t>
        </is>
      </c>
      <c r="G17" s="120">
        <f>IF(('08_Tool_Capability'!AI$76)&gt;=1,"ผ่าน","ไม่ผ่าน")</f>
        <v/>
      </c>
      <c r="H17" s="121">
        <f>IF('08_Tool_Capability'!AI$76=0,"waf ","")</f>
        <v/>
      </c>
      <c r="I17" s="99" t="inlineStr">
        <is>
          <t>มาตรฐานเว็บไซต์ 2568 — Website Security Operation
มสพร. 11-2566 เว็บไซต์ภาครัฐ 3.0 — มาตรการทางเทคนิค (แนะนำ)
PCI DSS v4.0 — Req 6.4.2 Automated technical solution</t>
        </is>
      </c>
    </row>
    <row r="18" ht="34" customHeight="1">
      <c r="A18" s="116" t="inlineStr">
        <is>
          <t>C-SC-SBOM</t>
        </is>
      </c>
      <c r="B18" s="117" t="inlineStr">
        <is>
          <t>ความปลอดภัยของ Supply Chain</t>
        </is>
      </c>
      <c r="C18" s="116" t="inlineStr">
        <is>
          <t>บังคับ</t>
        </is>
      </c>
      <c r="D18" s="118" t="inlineStr">
        <is>
          <t>สร้าง SBOM ทุก artifact และเก็บคู่กับ artifact</t>
        </is>
      </c>
      <c r="E18" s="119" t="inlineStr">
        <is>
          <t>รูปแบบ SPDX หรือ CycloneDX เก็บนานเท่าอายุการใช้งานของระบบ</t>
        </is>
      </c>
      <c r="F18" s="119" t="inlineStr">
        <is>
          <t>sbom</t>
        </is>
      </c>
      <c r="G18" s="120">
        <f>IF(('08_Tool_Capability'!X$76)&gt;=1,"ผ่าน","ไม่ผ่าน")</f>
        <v/>
      </c>
      <c r="H18" s="121">
        <f>IF('08_Tool_Capability'!X$76=0,"sbom ","")</f>
        <v/>
      </c>
      <c r="I18" s="99" t="inlineStr">
        <is>
          <t>มาตรฐานขั้นต่ำ 2566 — ระดับสูง — Third Party Management
OWASP Top 10:2025 — A03 Software Supply Chain Failures
NIST SSDF (SP 800-218) — PS.3 Archive and Protect Each Release
NIST SP 800-161r1 — SR-4 Provenance
SLSA v1.0 — Provenance content
SPDX / ISO 5962 — SPDX document
CycloneDX / ECMA-424 — BOM
CSA CCM v4 / STAR — AIS-06</t>
        </is>
      </c>
    </row>
    <row r="19" ht="34" customHeight="1">
      <c r="A19" s="116" t="inlineStr">
        <is>
          <t>C-SC-SCA</t>
        </is>
      </c>
      <c r="B19" s="117" t="inlineStr">
        <is>
          <t>ความปลอดภัยของ Supply Chain</t>
        </is>
      </c>
      <c r="C19" s="116" t="inlineStr">
        <is>
          <t>บังคับ</t>
        </is>
      </c>
      <c r="D19" s="118" t="inlineStr">
        <is>
          <t>ตรวจ Dependency เทียบฐานข้อมูลช่องโหว่ (CVE) ทุกรอบ</t>
        </is>
      </c>
      <c r="E19" s="119" t="inlineStr"/>
      <c r="F19" s="119" t="inlineStr">
        <is>
          <t>sca</t>
        </is>
      </c>
      <c r="G19" s="120">
        <f>IF(('08_Tool_Capability'!I$76)&gt;=1,"ผ่าน","ไม่ผ่าน")</f>
        <v/>
      </c>
      <c r="H19" s="121">
        <f>IF('08_Tool_Capability'!I$76=0,"sca ","")</f>
        <v/>
      </c>
      <c r="I19" s="99" t="inlineStr">
        <is>
          <t>มาตรฐานขั้นต่ำ 2566 — ระดับสูง — Third Party Management
ISO/IEC 27002:2022 — 8.8
OWASP Top 10:2025 — A03 Software Supply Chain Failures
NIST SP 800-161r1 — SR-3
CIS Controls v8.1 — Control 7 Continuous Vulnerability Management
CycloneDX / ECMA-424 — VEX
PCI DSS v4.0 — Req 6.3 Vulnerability management</t>
        </is>
      </c>
    </row>
    <row r="20" ht="34" customHeight="1">
      <c r="A20" s="116" t="inlineStr">
        <is>
          <t>C-SC-LICENSE</t>
        </is>
      </c>
      <c r="B20" s="117" t="inlineStr">
        <is>
          <t>ความปลอดภัยของ Supply Chain</t>
        </is>
      </c>
      <c r="C20" s="116" t="inlineStr">
        <is>
          <t>บังคับเมื่อผลกระทบสูง</t>
        </is>
      </c>
      <c r="D20" s="118" t="inlineStr">
        <is>
          <t>ตรวจลิขสิทธิ์ของ Open Source ให้สอดคล้องนโยบายองค์กร</t>
        </is>
      </c>
      <c r="E20" s="119" t="inlineStr">
        <is>
          <t>โครงการภาครัฐหลายแห่งห้ามใช้ GPL/AGPL ในงานเชิงพาณิชย์</t>
        </is>
      </c>
      <c r="F20" s="119" t="inlineStr">
        <is>
          <t>license</t>
        </is>
      </c>
      <c r="G20" s="120">
        <f>IF(('08_Tool_Capability'!J$76)&gt;=1,"ผ่าน","ไม่ผ่าน")</f>
        <v/>
      </c>
      <c r="H20" s="121">
        <f>IF('08_Tool_Capability'!J$76=0,"license ","")</f>
        <v/>
      </c>
      <c r="I20" s="99" t="inlineStr">
        <is>
          <t>ISO/IEC 27001:2022 — A.5.32
NIST SP 800-161r1 — SR-5
SPDX / ISO 5962 — License expression</t>
        </is>
      </c>
    </row>
    <row r="21" ht="34" customHeight="1">
      <c r="A21" s="116" t="inlineStr">
        <is>
          <t>C-SC-SIGN</t>
        </is>
      </c>
      <c r="B21" s="117" t="inlineStr">
        <is>
          <t>ความปลอดภัยของ Supply Chain</t>
        </is>
      </c>
      <c r="C21" s="116" t="inlineStr">
        <is>
          <t>บังคับ</t>
        </is>
      </c>
      <c r="D21" s="118" t="inlineStr">
        <is>
          <t>ลงนามดิจิทัลบน artifact และ Verify ลายเซ็นก่อน Deploy ทุกครั้ง</t>
        </is>
      </c>
      <c r="E21" s="119" t="inlineStr">
        <is>
          <t>การ Sign อย่างเดียวไม่พอ ต้องบังคับ Verify ที่ขั้น Deploy ด้วย</t>
        </is>
      </c>
      <c r="F21" s="119" t="inlineStr">
        <is>
          <t>artifact_sign</t>
        </is>
      </c>
      <c r="G21" s="120">
        <f>IF(('08_Tool_Capability'!P$76)&gt;=1,"ผ่าน","ไม่ผ่าน")</f>
        <v/>
      </c>
      <c r="H21" s="121">
        <f>IF('08_Tool_Capability'!P$76=0,"artifact_sign ","")</f>
        <v/>
      </c>
      <c r="I21" s="99" t="inlineStr">
        <is>
          <t>ขมธอ. ลายมือชื่อ/เอกสารอิเล็กทรอนิกส์ — ความครบถ้วนและการลงลายมือชื่อ
OWASP Top 10:2025 — A08 Software/Data Integrity Failures
NIST SSDF (SP 800-218) — PS.2 Provide a Mechanism for Verifying Integrity
NIST SP 800-161r1 — SR-4(3)
SLSA v1.0 — Build L2-L3 Signed provenance</t>
        </is>
      </c>
    </row>
    <row r="22" ht="34" customHeight="1">
      <c r="A22" s="116" t="inlineStr">
        <is>
          <t>C-SC-REGISTRY</t>
        </is>
      </c>
      <c r="B22" s="117" t="inlineStr">
        <is>
          <t>ความปลอดภัยของ Supply Chain</t>
        </is>
      </c>
      <c r="C22" s="116" t="inlineStr">
        <is>
          <t>บังคับ</t>
        </is>
      </c>
      <c r="D22" s="118" t="inlineStr">
        <is>
          <t>ใช้ Private Registry ควบคุมที่มาของ Image และ Package</t>
        </is>
      </c>
      <c r="E22" s="119" t="inlineStr"/>
      <c r="F22" s="119" t="inlineStr">
        <is>
          <t>registry</t>
        </is>
      </c>
      <c r="G22" s="120">
        <f>IF(('08_Tool_Capability'!V$76)&gt;=1,"ผ่าน","ไม่ผ่าน")</f>
        <v/>
      </c>
      <c r="H22" s="121">
        <f>IF('08_Tool_Capability'!V$76=0,"registry ","")</f>
        <v/>
      </c>
      <c r="I22" s="99" t="inlineStr">
        <is>
          <t>OWASP Top 10:2025 — A03 Software Supply Chain Failures
NIST SP 800-161r1 — SR-11</t>
        </is>
      </c>
    </row>
    <row r="23" ht="34" customHeight="1">
      <c r="A23" s="116" t="inlineStr">
        <is>
          <t>C-SC-PIN</t>
        </is>
      </c>
      <c r="B23" s="117" t="inlineStr">
        <is>
          <t>ความปลอดภัยของ Supply Chain</t>
        </is>
      </c>
      <c r="C23" s="116" t="inlineStr">
        <is>
          <t>บังคับ</t>
        </is>
      </c>
      <c r="D23" s="118" t="inlineStr">
        <is>
          <t>ตรึงเวอร์ชัน Dependency และทำให้ Build ซ้ำได้ (Reproducible)</t>
        </is>
      </c>
      <c r="E23" s="119" t="inlineStr"/>
      <c r="F23" s="119" t="inlineStr">
        <is>
          <t>version_tag, build</t>
        </is>
      </c>
      <c r="G23" s="120">
        <f>IF(('08_Tool_Capability'!W$76+'08_Tool_Capability'!L$76)&gt;=2,"ผ่าน","ไม่ผ่าน")</f>
        <v/>
      </c>
      <c r="H23" s="121">
        <f>IF('08_Tool_Capability'!W$76=0,"version_tag ","")&amp;IF('08_Tool_Capability'!L$76=0,"build ","")</f>
        <v/>
      </c>
      <c r="I23" s="99" t="inlineStr">
        <is>
          <t>OWASP Top 10:2025 — A08 Software/Data Integrity Failures
NIST SSDF (SP 800-218) — PW.4 Reuse Existing Software Securely
SLSA v1.0 — Dependencies Complete</t>
        </is>
      </c>
    </row>
    <row r="24" ht="34" customHeight="1">
      <c r="A24" s="116" t="inlineStr">
        <is>
          <t>C-SC-IMG</t>
        </is>
      </c>
      <c r="B24" s="117" t="inlineStr">
        <is>
          <t>ความปลอดภัยของ Supply Chain</t>
        </is>
      </c>
      <c r="C24" s="116" t="inlineStr">
        <is>
          <t>บังคับเมื่อผลกระทบสูง</t>
        </is>
      </c>
      <c r="D24" s="118" t="inlineStr">
        <is>
          <t>สร้าง Container Image แบบควบคุมได้ (Rootless / Hermetic Build)</t>
        </is>
      </c>
      <c r="E24" s="119" t="inlineStr"/>
      <c r="F24" s="119" t="inlineStr">
        <is>
          <t>image_build, build</t>
        </is>
      </c>
      <c r="G24" s="120">
        <f>IF(('08_Tool_Capability'!M$76+'08_Tool_Capability'!L$76)&gt;=2,"ผ่าน","ไม่ผ่าน")</f>
        <v/>
      </c>
      <c r="H24" s="121">
        <f>IF('08_Tool_Capability'!M$76=0,"image_build ","")&amp;IF('08_Tool_Capability'!L$76=0,"build ","")</f>
        <v/>
      </c>
      <c r="I24" s="99" t="inlineStr">
        <is>
          <t>CIS Benchmarks — Image build hardening
SLSA v1.0 — Build L3 Hermetic / Isolated build</t>
        </is>
      </c>
    </row>
    <row r="25" ht="34" customHeight="1">
      <c r="A25" s="116" t="inlineStr">
        <is>
          <t>C-SC-CONTAINER</t>
        </is>
      </c>
      <c r="B25" s="117" t="inlineStr">
        <is>
          <t>ความปลอดภัยของ Supply Chain</t>
        </is>
      </c>
      <c r="C25" s="116" t="inlineStr">
        <is>
          <t>บังคับ</t>
        </is>
      </c>
      <c r="D25" s="118" t="inlineStr">
        <is>
          <t>สแกนช่องโหว่ของ Container Image ทุก Layer ก่อน Deploy</t>
        </is>
      </c>
      <c r="E25" s="119" t="inlineStr"/>
      <c r="F25" s="119" t="inlineStr">
        <is>
          <t>container_scan</t>
        </is>
      </c>
      <c r="G25" s="120">
        <f>IF(('08_Tool_Capability'!N$76)&gt;=1,"ผ่าน","ไม่ผ่าน")</f>
        <v/>
      </c>
      <c r="H25" s="121">
        <f>IF('08_Tool_Capability'!N$76=0,"container_scan ","")</f>
        <v/>
      </c>
      <c r="I25" s="99" t="inlineStr">
        <is>
          <t>OWASP Top 10:2025 — A02/A03 Container image vulnerabilities
CIS Benchmarks — Image scanning before deploy
PCI DSS v4.0 — Req 6.3 Vulnerability management</t>
        </is>
      </c>
    </row>
    <row r="26" ht="34" customHeight="1">
      <c r="A26" s="116" t="inlineStr">
        <is>
          <t>C-CRY-TLS</t>
        </is>
      </c>
      <c r="B26" s="117" t="inlineStr">
        <is>
          <t>การเข้ารหัสและการจัดการกุญแจ</t>
        </is>
      </c>
      <c r="C26" s="116" t="inlineStr">
        <is>
          <t>บังคับ</t>
        </is>
      </c>
      <c r="D26" s="118" t="inlineStr">
        <is>
          <t>ใช้ TLS 1.2 หรือ 1.3 เท่านั้น ห้าม Self-signed Certificate</t>
        </is>
      </c>
      <c r="E26" s="119" t="inlineStr"/>
      <c r="F26" s="119" t="inlineStr">
        <is>
          <t>tls_check</t>
        </is>
      </c>
      <c r="G26" s="120">
        <f>IF(('08_Tool_Capability'!AJ$76)&gt;=1,"ผ่าน","ไม่ผ่าน")</f>
        <v/>
      </c>
      <c r="H26" s="121">
        <f>IF('08_Tool_Capability'!AJ$76=0,"tls_check ","")</f>
        <v/>
      </c>
      <c r="I26" s="99" t="inlineStr">
        <is>
          <t>พ.ร.บ. ปฏิบัติราชการทางอิเล็กทรอนิกส์ 2565 — ความปลอดภัยของช่องทาง
พ.ร.ฎ. วิธีการแบบปลอดภัย 2553 — การรักษาความลับของข้อมูล
มาตรฐานเว็บไซต์ 2568 — Website Security Operation
ประกาศ PDPC มาตรการความปลอดภัย 2565 — การเข้ารหัสข้อมูล
มสพร. 11-2566 เว็บไซต์ภาครัฐ 3.0 — ความมั่นคงปลอดภัยทางเทคนิค
ขมธอ. ความมั่นคงปลอดภัยสารสนเทศ — การเข้ารหัสข้อมูล
OWASP Top 10:2025 — A04 Cryptographic Failures
NIST PQC Migration — Protocol Migration
PCI DSS v4.0 — Req 4 Protect data in transit</t>
        </is>
      </c>
    </row>
    <row r="27" ht="34" customHeight="1">
      <c r="A27" s="116" t="inlineStr">
        <is>
          <t>C-CRY-KEY</t>
        </is>
      </c>
      <c r="B27" s="117" t="inlineStr">
        <is>
          <t>การเข้ารหัสและการจัดการกุญแจ</t>
        </is>
      </c>
      <c r="C27" s="116" t="inlineStr">
        <is>
          <t>บังคับ</t>
        </is>
      </c>
      <c r="D27" s="118" t="inlineStr">
        <is>
          <t>จัดการกุญแจและ Secret อย่างปลอดภัย พร้อม Key Rotation</t>
        </is>
      </c>
      <c r="E27" s="119" t="inlineStr"/>
      <c r="F27" s="119" t="inlineStr">
        <is>
          <t>secret_mgmt</t>
        </is>
      </c>
      <c r="G27" s="120">
        <f>IF(('08_Tool_Capability'!AG$76)&gt;=1,"ผ่าน","ไม่ผ่าน")</f>
        <v/>
      </c>
      <c r="H27" s="121">
        <f>IF('08_Tool_Capability'!AG$76=0,"secret_mgmt ","")</f>
        <v/>
      </c>
      <c r="I27" s="99" t="inlineStr">
        <is>
          <t>PDPA 2562 — ม.37
มาตรฐานคลาวด์ 2567 — Data Encryption
ประกาศ PDPC มาตรการความปลอดภัย 2565 — การบริหารกุญแจ
ขมธอ. การใช้บริการคลาวด์ — การจัดการกุญแจของผู้ใช้บริการ
ขมธอ. ลายมือชื่อ/เอกสารอิเล็กทรอนิกส์ — การจัดการกุญแจ
ISO/IEC 27001:2022 — A.8.24
ISO/IEC 27017 — CLD.10
OWASP Top 10:2025 — A04 Cryptographic Failures
OWASP ASVS 5.0 — V6 Cryptography
OWASP MASVS — MASVS-CRYPTO
CSA CCM v4 / STAR — CEK</t>
        </is>
      </c>
    </row>
    <row r="28" ht="34" customHeight="1">
      <c r="A28" s="116" t="inlineStr">
        <is>
          <t>C-CRY-PQC</t>
        </is>
      </c>
      <c r="B28" s="117" t="inlineStr">
        <is>
          <t>การเข้ารหัสและการจัดการกุญแจ</t>
        </is>
      </c>
      <c r="C28" s="116" t="inlineStr">
        <is>
          <t>แนะนำ</t>
        </is>
      </c>
      <c r="D28" s="118" t="inlineStr">
        <is>
          <t>ทำ Crypto Inventory (CBOM) และออกแบบให้เปลี่ยนอัลกอริทึมได้ (Crypto-Agility)</t>
        </is>
      </c>
      <c r="E28" s="119" t="inlineStr">
        <is>
          <t>เตรียมรองรับ Post-Quantum Cryptography ในอนาคต</t>
        </is>
      </c>
      <c r="F28" s="119" t="inlineStr">
        <is>
          <t>crypto_agility, tls_check</t>
        </is>
      </c>
      <c r="G28" s="120">
        <f>IF(('08_Tool_Capability'!AO$76+'08_Tool_Capability'!AJ$76)&gt;=2,"ผ่าน","ไม่ผ่าน")</f>
        <v/>
      </c>
      <c r="H28" s="121">
        <f>IF('08_Tool_Capability'!AO$76=0,"crypto_agility ","")&amp;IF('08_Tool_Capability'!AJ$76=0,"tls_check ","")</f>
        <v/>
      </c>
      <c r="I28" s="99" t="inlineStr">
        <is>
          <t>OWASP Top 10:2025 — Post-Quantum Threat &amp; Crypto-Agility
NIST PQC Migration — Crypto Discovery &amp; Inventory
CycloneDX / ECMA-424 — CBOM</t>
        </is>
      </c>
    </row>
    <row r="29" ht="34" customHeight="1">
      <c r="A29" s="116" t="inlineStr">
        <is>
          <t>C-IAM-MFA</t>
        </is>
      </c>
      <c r="B29" s="117" t="inlineStr">
        <is>
          <t>การยืนยันตัวตนและสิทธิ์การเข้าถึง</t>
        </is>
      </c>
      <c r="C29" s="116" t="inlineStr">
        <is>
          <t>บังคับ</t>
        </is>
      </c>
      <c r="D29" s="118" t="inlineStr">
        <is>
          <t>บังคับ Multi-Factor Authentication สำหรับบัญชีสำคัญ</t>
        </is>
      </c>
      <c r="E29" s="119" t="inlineStr"/>
      <c r="F29" s="119" t="inlineStr">
        <is>
          <t>iam_mfa</t>
        </is>
      </c>
      <c r="G29" s="120">
        <f>IF(('08_Tool_Capability'!AN$76)&gt;=1,"ผ่าน","ไม่ผ่าน")</f>
        <v/>
      </c>
      <c r="H29" s="121">
        <f>IF('08_Tool_Capability'!AN$76=0,"iam_mfa ","")</f>
        <v/>
      </c>
      <c r="I29" s="99" t="inlineStr">
        <is>
          <t>พ.ร.ฎ. วิธีการแบบปลอดภัย 2553 — การยืนยันตัวตน
มาตรฐานเว็บไซต์ 2568 — Website Security Operation
ประกาศ PDPC มาตรการความปลอดภัย 2565 — การควบคุมการเข้าถึง
NIST SP 800-207 — Policy Enforcement Point
NIST SP 800-63B — AAL2-AAL3
CIS Controls v8.1 — Control 6 Access Control Management</t>
        </is>
      </c>
    </row>
    <row r="30" ht="34" customHeight="1">
      <c r="A30" s="116" t="inlineStr">
        <is>
          <t>C-IAM-LEAST</t>
        </is>
      </c>
      <c r="B30" s="117" t="inlineStr">
        <is>
          <t>การยืนยันตัวตนและสิทธิ์การเข้าถึง</t>
        </is>
      </c>
      <c r="C30" s="116" t="inlineStr">
        <is>
          <t>บังคับ</t>
        </is>
      </c>
      <c r="D30" s="118" t="inlineStr">
        <is>
          <t>ให้สิทธิ์เท่าที่จำเป็น (Least Privilege) และตรวจสิทธิ์ทุกการเรียกใช้</t>
        </is>
      </c>
      <c r="E30" s="119" t="inlineStr">
        <is>
          <t>แนวทาง Zero Trust: ไม่เชื่อถือเครือข่ายภายในโดยปริยาย</t>
        </is>
      </c>
      <c r="F30" s="119" t="inlineStr">
        <is>
          <t>iam_mfa, orchestration, runtime_security</t>
        </is>
      </c>
      <c r="G30" s="120">
        <f>IF(('08_Tool_Capability'!AN$76+'08_Tool_Capability'!AD$76+'08_Tool_Capability'!AE$76)&gt;=3,"ผ่าน","ไม่ผ่าน")</f>
        <v/>
      </c>
      <c r="H30" s="121">
        <f>IF('08_Tool_Capability'!AN$76=0,"iam_mfa ","")&amp;IF('08_Tool_Capability'!AD$76=0,"orchestration ","")&amp;IF('08_Tool_Capability'!AE$76=0,"runtime_security ","")</f>
        <v/>
      </c>
      <c r="I30" s="99" t="inlineStr">
        <is>
          <t>PDPA 2562 — ม.37
มาตรฐานคลาวด์ 2567 — Access Control
ขมธอ. ความมั่นคงปลอดภัยสารสนเทศ — การควบคุมการเข้าถึง
ขมธอ. การใช้บริการคลาวด์ — การควบคุมการเข้าถึง
ISO/IEC 27001:2022 — A.5.15, A.8.2
ISO/IEC 27017 — CLD.9.5
NIST SP 800-207 — Tenet 1-7
NIST SP 800-53r5 — AC-6
CIS Benchmarks — RBAC
SOC 2 (TSC) — CC6 Logical Access
CSA CCM v4 / STAR — IAM</t>
        </is>
      </c>
    </row>
    <row r="31" ht="34" customHeight="1">
      <c r="A31" s="116" t="inlineStr">
        <is>
          <t>C-IAM-REMOTE</t>
        </is>
      </c>
      <c r="B31" s="117" t="inlineStr">
        <is>
          <t>การยืนยันตัวตนและสิทธิ์การเข้าถึง</t>
        </is>
      </c>
      <c r="C31" s="116" t="inlineStr">
        <is>
          <t>บังคับเมื่อผลกระทบสูง</t>
        </is>
      </c>
      <c r="D31" s="118" t="inlineStr">
        <is>
          <t>ควบคุมการเชื่อมต่อระยะไกลและสื่อบันทึกข้อมูลแบบถอดได้</t>
        </is>
      </c>
      <c r="E31" s="119" t="inlineStr"/>
      <c r="F31" s="119" t="inlineStr">
        <is>
          <t>iam_mfa, config_mgmt</t>
        </is>
      </c>
      <c r="G31" s="120">
        <f>IF(('08_Tool_Capability'!AN$76+'08_Tool_Capability'!AH$76)&gt;=2,"ผ่าน","ไม่ผ่าน")</f>
        <v/>
      </c>
      <c r="H31" s="121">
        <f>IF('08_Tool_Capability'!AN$76=0,"iam_mfa ","")&amp;IF('08_Tool_Capability'!AH$76=0,"config_mgmt ","")</f>
        <v/>
      </c>
      <c r="I31" s="99" t="inlineStr">
        <is>
          <t>มาตรฐานขั้นต่ำ 2566 — ระดับกลาง — Remote Connection</t>
        </is>
      </c>
    </row>
    <row r="32" ht="34" customHeight="1">
      <c r="A32" s="116" t="inlineStr">
        <is>
          <t>C-LOG-90</t>
        </is>
      </c>
      <c r="B32" s="117" t="inlineStr">
        <is>
          <t>การบันทึกและเฝ้าระวังเหตุการณ์</t>
        </is>
      </c>
      <c r="C32" s="116" t="inlineStr">
        <is>
          <t>บังคับ</t>
        </is>
      </c>
      <c r="D32" s="118" t="inlineStr">
        <is>
          <t>เก็บ Log จราจรคอมพิวเตอร์ไม่น้อยกว่า 90 วัน และตรวจสอบย้อนหลังได้</t>
        </is>
      </c>
      <c r="E32" s="119" t="inlineStr">
        <is>
          <t>เป็นตัวกำหนดขนาด Data Disk ของระบบ Log โดยตรง</t>
        </is>
      </c>
      <c r="F32" s="119" t="inlineStr">
        <is>
          <t>log_mgmt, audit_trail</t>
        </is>
      </c>
      <c r="G32" s="120">
        <f>IF(('08_Tool_Capability'!Z$76+'08_Tool_Capability'!Y$76)&gt;=2,"ผ่าน","ไม่ผ่าน")</f>
        <v/>
      </c>
      <c r="H32" s="121">
        <f>IF('08_Tool_Capability'!Z$76=0,"log_mgmt ","")&amp;IF('08_Tool_Capability'!Y$76=0,"audit_trail ","")</f>
        <v/>
      </c>
      <c r="I32" s="99" t="inlineStr">
        <is>
          <t>พ.ร.บ. คอมพิวเตอร์ 2550/2560 — ม.26
มาตรฐานขั้นต่ำ 2566 — Log Management</t>
        </is>
      </c>
    </row>
    <row r="33" ht="34" customHeight="1">
      <c r="A33" s="116" t="inlineStr">
        <is>
          <t>C-LOG-CENTRAL</t>
        </is>
      </c>
      <c r="B33" s="117" t="inlineStr">
        <is>
          <t>การบันทึกและเฝ้าระวังเหตุการณ์</t>
        </is>
      </c>
      <c r="C33" s="116" t="inlineStr">
        <is>
          <t>บังคับ</t>
        </is>
      </c>
      <c r="D33" s="118" t="inlineStr">
        <is>
          <t>รวบรวม Log ไว้ที่ศูนย์กลางที่แก้ไขย้อนหลังไม่ได้</t>
        </is>
      </c>
      <c r="E33" s="119" t="inlineStr"/>
      <c r="F33" s="119" t="inlineStr">
        <is>
          <t>log_mgmt</t>
        </is>
      </c>
      <c r="G33" s="120">
        <f>IF(('08_Tool_Capability'!Z$76)&gt;=1,"ผ่าน","ไม่ผ่าน")</f>
        <v/>
      </c>
      <c r="H33" s="121">
        <f>IF('08_Tool_Capability'!Z$76=0,"log_mgmt ","")</f>
        <v/>
      </c>
      <c r="I33" s="99" t="inlineStr">
        <is>
          <t>พ.ร.บ. คอมพิวเตอร์ 2550/2560 — ม.26
พ.ร.ฎ. วิธีการแบบปลอดภัย 2553 — การบันทึกเหตุการณ์
มาตรฐานคลาวด์ 2567 — Operation Security
มาตรฐานเว็บไซต์ 2568 — Logging &amp; Monitoring
ประกาศ PDPC มาตรการความปลอดภัย 2565 — การบันทึกการเข้าถึง
ขมธอ. ความมั่นคงปลอดภัยสารสนเทศ — การบันทึกเหตุการณ์
ISO/IEC 27001:2022 — A.8.15
ISO/IEC 27002:2022 — 8.15
ISO/IEC 27017 — CLD.12.4
OWASP Top 10:2025 — A09 Logging &amp; Alerting Failures
OWASP ASVS 5.0 — V7 Error Handling &amp; Logging
CIS Controls v8.1 — Control 8 Audit Log Management
PCI DSS v4.0 — Req 10 Log and monitor
CSA CCM v4 / STAR — LOG</t>
        </is>
      </c>
    </row>
    <row r="34" ht="34" customHeight="1">
      <c r="A34" s="116" t="inlineStr">
        <is>
          <t>C-LOG-SIEM</t>
        </is>
      </c>
      <c r="B34" s="117" t="inlineStr">
        <is>
          <t>การบันทึกและเฝ้าระวังเหตุการณ์</t>
        </is>
      </c>
      <c r="C34" s="116" t="inlineStr">
        <is>
          <t>บังคับ</t>
        </is>
      </c>
      <c r="D34" s="118" t="inlineStr">
        <is>
          <t>มีระบบเฝ้าระวังและแจ้งเตือนเหตุการณ์ด้านความปลอดภัย (SIEM / Alerting)</t>
        </is>
      </c>
      <c r="E34" s="119" t="inlineStr"/>
      <c r="F34" s="119" t="inlineStr">
        <is>
          <t>siem_alert, monitoring</t>
        </is>
      </c>
      <c r="G34" s="120">
        <f>IF(('08_Tool_Capability'!AA$76+'08_Tool_Capability'!AF$76)&gt;=2,"ผ่าน","ไม่ผ่าน")</f>
        <v/>
      </c>
      <c r="H34" s="121">
        <f>IF('08_Tool_Capability'!AA$76=0,"siem_alert ","")&amp;IF('08_Tool_Capability'!AF$76=0,"monitoring ","")</f>
        <v/>
      </c>
      <c r="I34" s="99" t="inlineStr">
        <is>
          <t>พ.ร.บ. ไซเบอร์ 2562 — ม.56
มาตรฐานเว็บไซต์ 2568 — Logging &amp; Monitoring
กรอบมาตรฐานไซเบอร์ 2564 — การเฝ้าระวัง
ประกาศ PDPC แจ้งเหตุละเมิด 2565 — การตรวจพบเหตุ
OWASP Top 10:2025 — A09 Logging &amp; Alerting Failures
NIST SP 800-207 — Continuous Monitoring
NIST CSF 2.0 — DE.AE
SOC 2 (TSC) — CC7.2 Monitoring</t>
        </is>
      </c>
    </row>
    <row r="35" ht="34" customHeight="1">
      <c r="A35" s="116" t="inlineStr">
        <is>
          <t>C-LOG-AUDIT</t>
        </is>
      </c>
      <c r="B35" s="117" t="inlineStr">
        <is>
          <t>การบันทึกและเฝ้าระวังเหตุการณ์</t>
        </is>
      </c>
      <c r="C35" s="116" t="inlineStr">
        <is>
          <t>บังคับ</t>
        </is>
      </c>
      <c r="D35" s="118" t="inlineStr">
        <is>
          <t>บันทึก Audit Trail ว่าใครทำอะไรเมื่อไหร่ และเก็บตามอายุที่กฎหมายกำหนด</t>
        </is>
      </c>
      <c r="E35" s="119" t="inlineStr">
        <is>
          <t>ภาครัฐมักต้องเก็บหลักฐานการอนุมัติและการเปลี่ยนแปลงระบบ 5-7 ปี</t>
        </is>
      </c>
      <c r="F35" s="119" t="inlineStr">
        <is>
          <t>audit_trail</t>
        </is>
      </c>
      <c r="G35" s="120">
        <f>IF(('08_Tool_Capability'!Y$76)&gt;=1,"ผ่าน","ไม่ผ่าน")</f>
        <v/>
      </c>
      <c r="H35" s="121">
        <f>IF('08_Tool_Capability'!Y$76=0,"audit_trail ","")</f>
        <v/>
      </c>
      <c r="I35" s="99" t="inlineStr">
        <is>
          <t>พ.ร.บ. คอมพิวเตอร์ 2550/2560 — ม.26
พ.ร.บ. ไซเบอร์ 2562 — ม.54
PDPA 2562 — ม.39 (RoPA)
พ.ร.บ. ปฏิบัติราชการทางอิเล็กทรอนิกส์ 2565 — การเก็บหลักฐานทางอิเล็กทรอนิกส์
มาตรฐานขั้นต่ำ 2566 — Log Management
มาตรฐานข้อมูลเปิดภาครัฐ — ธรรมาภิบาลข้อมูล
ขมธอ. ลายมือชื่อ/เอกสารอิเล็กทรอนิกส์ — การเก็บหลักฐาน
ITA (ป.ป.ช.) — การเปิดเผยข้อมูลและตรวจสอบได้
ISO/IEC 27001:2022 — A.8.15
ISO/IEC 27018 — A.12
ISO/IEC 27701 — A.7.2
ISO/IEC 42001:2023 — A.5 Records
NIST SP 800-53r5 — AU-2, AU-12
SOC 2 (TSC) — CC7 System Operations</t>
        </is>
      </c>
    </row>
    <row r="36" ht="34" customHeight="1">
      <c r="A36" s="116" t="inlineStr">
        <is>
          <t>C-LOG-NOTIFY</t>
        </is>
      </c>
      <c r="B36" s="117" t="inlineStr">
        <is>
          <t>การบันทึกและเฝ้าระวังเหตุการณ์</t>
        </is>
      </c>
      <c r="C36" s="116" t="inlineStr">
        <is>
          <t>บังคับ</t>
        </is>
      </c>
      <c r="D36" s="118" t="inlineStr">
        <is>
          <t>แจ้งเหตุและยกระดับเหตุการณ์ได้ทันกรอบเวลาที่กฎหมายกำหนด</t>
        </is>
      </c>
      <c r="E36" s="119" t="inlineStr">
        <is>
          <t>PDPA กำหนด 72 ชั่วโมงต่อ PDPC และกฎหมายไซเบอร์กำหนดให้แจ้ง สกมช. โดยเร็ว</t>
        </is>
      </c>
      <c r="F36" s="119" t="inlineStr">
        <is>
          <t>notify, siem_alert</t>
        </is>
      </c>
      <c r="G36" s="120">
        <f>IF(('08_Tool_Capability'!AQ$76+'08_Tool_Capability'!AA$76)&gt;=2,"ผ่าน","ไม่ผ่าน")</f>
        <v/>
      </c>
      <c r="H36" s="121">
        <f>IF('08_Tool_Capability'!AQ$76=0,"notify ","")&amp;IF('08_Tool_Capability'!AA$76=0,"siem_alert ","")</f>
        <v/>
      </c>
      <c r="I36" s="99" t="inlineStr">
        <is>
          <t>พ.ร.บ. ไซเบอร์ 2562 — ม.57
ประกาศ PDPC แจ้งเหตุละเมิด 2565 — ช่องทางการแจ้งเหตุ
NIST CSF 2.0 — RS.CO</t>
        </is>
      </c>
    </row>
    <row r="37" ht="34" customHeight="1">
      <c r="A37" s="116" t="inlineStr">
        <is>
          <t>C-OPS-HARDEN</t>
        </is>
      </c>
      <c r="B37" s="117" t="inlineStr">
        <is>
          <t>การปฏิบัติการและโครงสร้างพื้นฐาน</t>
        </is>
      </c>
      <c r="C37" s="116" t="inlineStr">
        <is>
          <t>บังคับ</t>
        </is>
      </c>
      <c r="D37" s="118" t="inlineStr">
        <is>
          <t>มี Hardening Baseline และตรวจการตั้งค่าที่ผิดพลาดอย่างสม่ำเสมอ</t>
        </is>
      </c>
      <c r="E37" s="119" t="inlineStr"/>
      <c r="F37" s="119" t="inlineStr">
        <is>
          <t>config_mgmt</t>
        </is>
      </c>
      <c r="G37" s="120">
        <f>IF(('08_Tool_Capability'!AH$76)&gt;=1,"ผ่าน","ไม่ผ่าน")</f>
        <v/>
      </c>
      <c r="H37" s="121">
        <f>IF('08_Tool_Capability'!AH$76=0,"config_mgmt ","")</f>
        <v/>
      </c>
      <c r="I37" s="99" t="inlineStr">
        <is>
          <t>มาตรฐานขั้นต่ำ 2566 — การควบคุมเชิงเทคนิค
กรอบมาตรฐานไซเบอร์ 2564 — การควบคุมเชิงเทคนิค
ขมธอ. ความมั่นคงปลอดภัยสารสนเทศ — การตั้งค่าอย่างปลอดภัย
ISO/IEC 27001:2022 — A.8.9
ISO/IEC 27002:2022 — 8.9
OWASP Top 10:2025 — A02 Security Misconfiguration
NIST CSF 2.0 — PR.PS
NIST SP 800-53r5 — CM-6
CIS Controls v8.1 — Control 4 Secure Configuration
CIS Benchmarks — Benchmark items</t>
        </is>
      </c>
    </row>
    <row r="38" ht="34" customHeight="1">
      <c r="A38" s="116" t="inlineStr">
        <is>
          <t>C-OPS-IAC</t>
        </is>
      </c>
      <c r="B38" s="117" t="inlineStr">
        <is>
          <t>การปฏิบัติการและโครงสร้างพื้นฐาน</t>
        </is>
      </c>
      <c r="C38" s="116" t="inlineStr">
        <is>
          <t>บังคับ</t>
        </is>
      </c>
      <c r="D38" s="118" t="inlineStr">
        <is>
          <t>ตรวจไฟล์ Infrastructure as Code และบังคับ Policy-as-Code ก่อนใช้งาน</t>
        </is>
      </c>
      <c r="E38" s="119" t="inlineStr"/>
      <c r="F38" s="119" t="inlineStr">
        <is>
          <t>iac_scan</t>
        </is>
      </c>
      <c r="G38" s="120">
        <f>IF(('08_Tool_Capability'!O$76)&gt;=1,"ผ่าน","ไม่ผ่าน")</f>
        <v/>
      </c>
      <c r="H38" s="121">
        <f>IF('08_Tool_Capability'!O$76=0,"iac_scan ","")</f>
        <v/>
      </c>
      <c r="I38" s="99" t="inlineStr">
        <is>
          <t>มาตรฐานคลาวด์ 2567 — Cloud Infrastructure Security
OWASP Top 10:2025 — A02 Security Misconfiguration
CIS Benchmarks — Policy enforcement</t>
        </is>
      </c>
    </row>
    <row r="39" ht="34" customHeight="1">
      <c r="A39" s="116" t="inlineStr">
        <is>
          <t>C-OPS-CSPM</t>
        </is>
      </c>
      <c r="B39" s="117" t="inlineStr">
        <is>
          <t>การปฏิบัติการและโครงสร้างพื้นฐาน</t>
        </is>
      </c>
      <c r="C39" s="116" t="inlineStr">
        <is>
          <t>บังคับเมื่อผลกระทบสูง</t>
        </is>
      </c>
      <c r="D39" s="118" t="inlineStr">
        <is>
          <t>ตรวจสถานะความปลอดภัยของโครงสร้างพื้นฐาน / คลาวด์เป็นระยะ</t>
        </is>
      </c>
      <c r="E39" s="119" t="inlineStr"/>
      <c r="F39" s="119" t="inlineStr">
        <is>
          <t>cspm</t>
        </is>
      </c>
      <c r="G39" s="120">
        <f>IF(('08_Tool_Capability'!AL$76)&gt;=1,"ผ่าน","ไม่ผ่าน")</f>
        <v/>
      </c>
      <c r="H39" s="121">
        <f>IF('08_Tool_Capability'!AL$76=0,"cspm ","")</f>
        <v/>
      </c>
      <c r="I39" s="99" t="inlineStr">
        <is>
          <t>มาตรฐานคลาวด์ 2567 — Cloud Infrastructure Security
ขมธอ. การใช้บริการคลาวด์ — การควบคุมผู้ให้บริการ
ISO/IEC 27017 — CLD.9
CSA CCM v4 / STAR — IVS / DCS</t>
        </is>
      </c>
    </row>
    <row r="40" ht="34" customHeight="1">
      <c r="A40" s="116" t="inlineStr">
        <is>
          <t>C-OPS-RUNTIME</t>
        </is>
      </c>
      <c r="B40" s="117" t="inlineStr">
        <is>
          <t>การปฏิบัติการและโครงสร้างพื้นฐาน</t>
        </is>
      </c>
      <c r="C40" s="116" t="inlineStr">
        <is>
          <t>บังคับเมื่อผลกระทบสูง</t>
        </is>
      </c>
      <c r="D40" s="118" t="inlineStr">
        <is>
          <t>เฝ้าระวังพฤติกรรมผิดปกติของ Container ตอนรันจริง (Runtime Security)</t>
        </is>
      </c>
      <c r="E40" s="119" t="inlineStr"/>
      <c r="F40" s="119" t="inlineStr">
        <is>
          <t>runtime_security</t>
        </is>
      </c>
      <c r="G40" s="120">
        <f>IF(('08_Tool_Capability'!AE$76)&gt;=1,"ผ่าน","ไม่ผ่าน")</f>
        <v/>
      </c>
      <c r="H40" s="121">
        <f>IF('08_Tool_Capability'!AE$76=0,"runtime_security ","")</f>
        <v/>
      </c>
      <c r="I40" s="99" t="inlineStr">
        <is>
          <t>NIST SP 800-207 — Continuous Diagnostics
CIS Benchmarks — Runtime policies</t>
        </is>
      </c>
    </row>
    <row r="41" ht="34" customHeight="1">
      <c r="A41" s="116" t="inlineStr">
        <is>
          <t>C-OPS-MONITOR</t>
        </is>
      </c>
      <c r="B41" s="117" t="inlineStr">
        <is>
          <t>การปฏิบัติการและโครงสร้างพื้นฐาน</t>
        </is>
      </c>
      <c r="C41" s="116" t="inlineStr">
        <is>
          <t>บังคับ</t>
        </is>
      </c>
      <c r="D41" s="118" t="inlineStr">
        <is>
          <t>มีระบบ Observability เก็บ Metrics / Logs / Traces และตั้ง Alert</t>
        </is>
      </c>
      <c r="E41" s="119" t="inlineStr"/>
      <c r="F41" s="119" t="inlineStr">
        <is>
          <t>monitoring</t>
        </is>
      </c>
      <c r="G41" s="120">
        <f>IF(('08_Tool_Capability'!AF$76)&gt;=1,"ผ่าน","ไม่ผ่าน")</f>
        <v/>
      </c>
      <c r="H41" s="121">
        <f>IF('08_Tool_Capability'!AF$76=0,"monitoring ","")</f>
        <v/>
      </c>
      <c r="I41" s="99" t="inlineStr">
        <is>
          <t>มาตรฐานคลาวด์ 2567 — Continuous Monitoring
NIST CSF 2.0 — DE.CM</t>
        </is>
      </c>
    </row>
    <row r="42" ht="34" customHeight="1">
      <c r="A42" s="116" t="inlineStr">
        <is>
          <t>C-OPS-PERF</t>
        </is>
      </c>
      <c r="B42" s="117" t="inlineStr">
        <is>
          <t>การปฏิบัติการและโครงสร้างพื้นฐาน</t>
        </is>
      </c>
      <c r="C42" s="116" t="inlineStr">
        <is>
          <t>บังคับเมื่อผลกระทบสูง</t>
        </is>
      </c>
      <c r="D42" s="118" t="inlineStr">
        <is>
          <t>ทดสอบประสิทธิภาพเทียบ SLA ก่อน Go-Live</t>
        </is>
      </c>
      <c r="E42" s="119" t="inlineStr"/>
      <c r="F42" s="119" t="inlineStr">
        <is>
          <t>perf_test</t>
        </is>
      </c>
      <c r="G42" s="120">
        <f>IF(('08_Tool_Capability'!U$76)&gt;=1,"ผ่าน","ไม่ผ่าน")</f>
        <v/>
      </c>
      <c r="H42" s="121">
        <f>IF('08_Tool_Capability'!U$76=0,"perf_test ","")</f>
        <v/>
      </c>
      <c r="I42" s="99" t="inlineStr">
        <is>
          <t>ISO/IEC 27001:2022 — A.8.6
ISO/IEC 25010:2023 — Performance Efficiency</t>
        </is>
      </c>
    </row>
    <row r="43" ht="34" customHeight="1">
      <c r="A43" s="116" t="inlineStr">
        <is>
          <t>C-OPS-DEPLOY</t>
        </is>
      </c>
      <c r="B43" s="117" t="inlineStr">
        <is>
          <t>การปฏิบัติการและโครงสร้างพื้นฐาน</t>
        </is>
      </c>
      <c r="C43" s="116" t="inlineStr">
        <is>
          <t>บังคับ</t>
        </is>
      </c>
      <c r="D43" s="118" t="inlineStr">
        <is>
          <t>มีกลยุทธ์การ Deploy ที่ย้อนกลับได้ (Rolling / Blue-Green / Canary)</t>
        </is>
      </c>
      <c r="E43" s="119" t="inlineStr"/>
      <c r="F43" s="119" t="inlineStr">
        <is>
          <t>deploy_strategy, orchestration</t>
        </is>
      </c>
      <c r="G43" s="120">
        <f>IF(('08_Tool_Capability'!AC$76+'08_Tool_Capability'!AD$76)&gt;=2,"ผ่าน","ไม่ผ่าน")</f>
        <v/>
      </c>
      <c r="H43" s="121">
        <f>IF('08_Tool_Capability'!AC$76=0,"deploy_strategy ","")&amp;IF('08_Tool_Capability'!AD$76=0,"orchestration ","")</f>
        <v/>
      </c>
      <c r="I43" s="99" t="inlineStr">
        <is>
          <t>พ.ร.บ. ไซเบอร์ 2562 — ม.62 การรักษาความต่อเนื่องของบริการ
CIS Controls v8.1 — Control 4.7 Change control
SOC 2 (TSC) — CC8.1 Change deployment &amp; rollback</t>
        </is>
      </c>
    </row>
    <row r="44" ht="34" customHeight="1">
      <c r="A44" s="116" t="inlineStr">
        <is>
          <t>C-OPS-BACKUP</t>
        </is>
      </c>
      <c r="B44" s="117" t="inlineStr">
        <is>
          <t>การปฏิบัติการและโครงสร้างพื้นฐาน</t>
        </is>
      </c>
      <c r="C44" s="116" t="inlineStr">
        <is>
          <t>บังคับ</t>
        </is>
      </c>
      <c r="D44" s="118" t="inlineStr">
        <is>
          <t>สำรองข้อมูลและ ทดสอบการกู้คืนจริง ไม่ใช่แค่สำรองผ่าน</t>
        </is>
      </c>
      <c r="E44" s="119" t="inlineStr"/>
      <c r="F44" s="119" t="inlineStr">
        <is>
          <t>backup_dr</t>
        </is>
      </c>
      <c r="G44" s="120">
        <f>IF(('08_Tool_Capability'!AM$76)&gt;=1,"ผ่าน","ไม่ผ่าน")</f>
        <v/>
      </c>
      <c r="H44" s="121">
        <f>IF('08_Tool_Capability'!AM$76=0,"backup_dr ","")</f>
        <v/>
      </c>
      <c r="I44" s="99" t="inlineStr">
        <is>
          <t>พ.ร.ฎ. วิธีการแบบปลอดภัย 2553 — ความพร้อมใช้ของระบบ
มาตรฐานขั้นต่ำ 2566 — ระดับสูง — Resilience &amp; Recovery
มาตรฐานเว็บไซต์ 2568 — Website Security Governance
มสพร. 11-2566 เว็บไซต์ภาครัฐ 3.0 — แผนสำรองข้อมูล
ขมธอ. การใช้บริการคลาวด์ — การสำรองและย้ายข้อมูล
ISO/IEC 27001:2022 — A.8.13
ISO 22301:2019 — 8.4.4
NIST SP 800-53r5 — CP-9
CIS Controls v8.1 — Control 11 Data Recovery</t>
        </is>
      </c>
    </row>
    <row r="45" ht="34" customHeight="1">
      <c r="A45" s="116" t="inlineStr">
        <is>
          <t>C-OPS-BCP</t>
        </is>
      </c>
      <c r="B45" s="117" t="inlineStr">
        <is>
          <t>การปฏิบัติการและโครงสร้างพื้นฐาน</t>
        </is>
      </c>
      <c r="C45" s="116" t="inlineStr">
        <is>
          <t>บังคับเมื่อผลกระทบสูง</t>
        </is>
      </c>
      <c r="D45" s="118" t="inlineStr">
        <is>
          <t>มีแผนความต่อเนื่องทางธุรกิจและการกู้คืนระบบ พร้อมซ้อมแผนเป็นประจำ</t>
        </is>
      </c>
      <c r="E45" s="119" t="inlineStr"/>
      <c r="F45" s="119" t="inlineStr">
        <is>
          <t>backup_dr, audit_trail</t>
        </is>
      </c>
      <c r="G45" s="120">
        <f>IF(('08_Tool_Capability'!AM$76+'08_Tool_Capability'!Y$76)&gt;=2,"ผ่าน","ไม่ผ่าน")</f>
        <v/>
      </c>
      <c r="H45" s="121">
        <f>IF('08_Tool_Capability'!AM$76=0,"backup_dr ","")&amp;IF('08_Tool_Capability'!Y$76=0,"audit_trail ","")</f>
        <v/>
      </c>
      <c r="I45" s="99" t="inlineStr">
        <is>
          <t>พ.ร.บ. ไซเบอร์ 2562 — ม.3, ม.62
มาตรฐานขั้นต่ำ 2566 — ระดับสูง — Resilience &amp; Recovery
กรอบมาตรฐานไซเบอร์ 2564 — การรับมือและกู้คืน
ISO 22301:2019 — 8.4 Business continuity plans
NIST CSF 2.0 — RC.RP
SOC 2 (TSC) — A1.2 Availability</t>
        </is>
      </c>
    </row>
    <row r="46" ht="34" customHeight="1">
      <c r="A46" s="116" t="inlineStr">
        <is>
          <t>C-PRV-MEASURE</t>
        </is>
      </c>
      <c r="B46" s="117" t="inlineStr">
        <is>
          <t>การคุ้มครองข้อมูลส่วนบุคคล</t>
        </is>
      </c>
      <c r="C46" s="116" t="inlineStr">
        <is>
          <t>บังคับ</t>
        </is>
      </c>
      <c r="D46" s="118" t="inlineStr">
        <is>
          <t>มีมาตรการรักษาความมั่นคงปลอดภัยที่เหมาะสมกับข้อมูลส่วนบุคคล</t>
        </is>
      </c>
      <c r="E46" s="119" t="inlineStr">
        <is>
          <t>ครอบคลุมการเข้ารหัส การควบคุมสิทธิ์ และการบันทึกเหตุการณ์</t>
        </is>
      </c>
      <c r="F46" s="119" t="inlineStr">
        <is>
          <t>secret_mgmt, iam_mfa, log_mgmt, tls_check</t>
        </is>
      </c>
      <c r="G46" s="120">
        <f>IF(('08_Tool_Capability'!AG$76+'08_Tool_Capability'!AN$76+'08_Tool_Capability'!Z$76+'08_Tool_Capability'!AJ$76)&gt;=4,"ผ่าน","ไม่ผ่าน")</f>
        <v/>
      </c>
      <c r="H46" s="121">
        <f>IF('08_Tool_Capability'!AG$76=0,"secret_mgmt ","")&amp;IF('08_Tool_Capability'!AN$76=0,"iam_mfa ","")&amp;IF('08_Tool_Capability'!Z$76=0,"log_mgmt ","")&amp;IF('08_Tool_Capability'!AJ$76=0,"tls_check ","")</f>
        <v/>
      </c>
      <c r="I46" s="99" t="inlineStr">
        <is>
          <t>PDPA 2562 — ม.37
ประกาศ PDPC มาตรการความปลอดภัย 2565 — มาตรการเชิงเทคนิค
มสพร. 11-2566 เว็บไซต์ภาครัฐ 3.0 — การคุ้มครองข้อมูลส่วนบุคคล
ISO/IEC 27018 — A.11
ISO/IEC 27701 — 6.x
ISO/IEC 29100 — Information security</t>
        </is>
      </c>
    </row>
    <row r="47" ht="34" customHeight="1">
      <c r="A47" s="116" t="inlineStr">
        <is>
          <t>C-PRV-BREACH</t>
        </is>
      </c>
      <c r="B47" s="117" t="inlineStr">
        <is>
          <t>การคุ้มครองข้อมูลส่วนบุคคล</t>
        </is>
      </c>
      <c r="C47" s="116" t="inlineStr">
        <is>
          <t>บังคับ</t>
        </is>
      </c>
      <c r="D47" s="118" t="inlineStr">
        <is>
          <t>ตรวจจับเหตุละเมิดข้อมูลส่วนบุคคลได้เร็วพอที่จะแจ้งภายในกรอบเวลา</t>
        </is>
      </c>
      <c r="E47" s="119" t="inlineStr"/>
      <c r="F47" s="119" t="inlineStr">
        <is>
          <t>siem_alert, log_mgmt, notify</t>
        </is>
      </c>
      <c r="G47" s="120">
        <f>IF(('08_Tool_Capability'!AA$76+'08_Tool_Capability'!Z$76+'08_Tool_Capability'!AQ$76)&gt;=3,"ผ่าน","ไม่ผ่าน")</f>
        <v/>
      </c>
      <c r="H47" s="121">
        <f>IF('08_Tool_Capability'!AA$76=0,"siem_alert ","")&amp;IF('08_Tool_Capability'!Z$76=0,"log_mgmt ","")&amp;IF('08_Tool_Capability'!AQ$76=0,"notify ","")</f>
        <v/>
      </c>
      <c r="I47" s="99" t="inlineStr">
        <is>
          <t>PDPA 2562 — ม.37(4)
ประกาศ PDPC แจ้งเหตุละเมิด 2565 — การแจ้งภายใน 72 ชั่วโมง
ISO/IEC 27701 — A.7.3</t>
        </is>
      </c>
    </row>
    <row r="48" ht="34" customHeight="1">
      <c r="A48" s="116" t="inlineStr">
        <is>
          <t>C-PRV-MINIMIZE</t>
        </is>
      </c>
      <c r="B48" s="117" t="inlineStr">
        <is>
          <t>การคุ้มครองข้อมูลส่วนบุคคล</t>
        </is>
      </c>
      <c r="C48" s="116" t="inlineStr">
        <is>
          <t>บังคับ</t>
        </is>
      </c>
      <c r="D48" s="118" t="inlineStr">
        <is>
          <t>ไม่ให้ข้อมูลส่วนบุคคลรั่วไหลไปกับ Log, Artifact หรือชุดข้อมูลทดสอบ</t>
        </is>
      </c>
      <c r="E48" s="119" t="inlineStr"/>
      <c r="F48" s="119" t="inlineStr">
        <is>
          <t>secret_scan, log_mgmt</t>
        </is>
      </c>
      <c r="G48" s="120">
        <f>IF(('08_Tool_Capability'!H$76+'08_Tool_Capability'!Z$76)&gt;=2,"ผ่าน","ไม่ผ่าน")</f>
        <v/>
      </c>
      <c r="H48" s="121">
        <f>IF('08_Tool_Capability'!H$76=0,"secret_scan ","")&amp;IF('08_Tool_Capability'!Z$76=0,"log_mgmt ","")</f>
        <v/>
      </c>
      <c r="I48" s="99" t="inlineStr">
        <is>
          <t>PDPA 2562 — ม.37
ISO/IEC 27018 — A.10
ISO/IEC 27701 — A.7.4
ISO/IEC 29100 — Data minimization</t>
        </is>
      </c>
    </row>
    <row r="49" ht="34" customHeight="1">
      <c r="A49" s="116" t="inlineStr">
        <is>
          <t>C-WEB-A11Y</t>
        </is>
      </c>
      <c r="B49" s="117" t="inlineStr">
        <is>
          <t>เว็บไซต์และการเข้าถึงที่เท่าเทียม</t>
        </is>
      </c>
      <c r="C49" s="116" t="inlineStr">
        <is>
          <t>บังคับ</t>
        </is>
      </c>
      <c r="D49" s="118" t="inlineStr">
        <is>
          <t>เว็บไซต์ต้องผ่าน WCAG 2.1 หรือ 2.2 ระดับ AA</t>
        </is>
      </c>
      <c r="E49" s="119" t="inlineStr">
        <is>
          <t>เป็นข้อที่โครงการเว็บภาครัฐตกบ่อยที่สุด เพราะไม่มีการทดสอบใน Pipeline</t>
        </is>
      </c>
      <c r="F49" s="119" t="inlineStr">
        <is>
          <t>accessibility</t>
        </is>
      </c>
      <c r="G49" s="120">
        <f>IF(('08_Tool_Capability'!AK$76)&gt;=1,"ผ่าน","ไม่ผ่าน")</f>
        <v/>
      </c>
      <c r="H49" s="121">
        <f>IF('08_Tool_Capability'!AK$76=0,"accessibility ","")</f>
        <v/>
      </c>
      <c r="I49" s="99" t="inlineStr">
        <is>
          <t>มสพร. 11-2566 เว็บไซต์ภาครัฐ 3.0 — Web Accessibility (WCAG AA)
WCAG 2.2 AA — Level AA success criteria</t>
        </is>
      </c>
    </row>
    <row r="50" ht="34" customHeight="1">
      <c r="A50" s="116" t="inlineStr">
        <is>
          <t>C-WEB-SELF</t>
        </is>
      </c>
      <c r="B50" s="117" t="inlineStr">
        <is>
          <t>เว็บไซต์และการเข้าถึงที่เท่าเทียม</t>
        </is>
      </c>
      <c r="C50" s="116" t="inlineStr">
        <is>
          <t>บังคับ</t>
        </is>
      </c>
      <c r="D50" s="118" t="inlineStr">
        <is>
          <t>ประเมินตนเองอย่างน้อยปีละ 1 ครั้ง และรายงานผลต่อผู้บริหาร</t>
        </is>
      </c>
      <c r="E50" s="119" t="inlineStr"/>
      <c r="F50" s="119" t="inlineStr">
        <is>
          <t>audit_trail, vapt</t>
        </is>
      </c>
      <c r="G50" s="120">
        <f>IF(('08_Tool_Capability'!Y$76+'08_Tool_Capability'!AP$76)&gt;=2,"ผ่าน","ไม่ผ่าน")</f>
        <v/>
      </c>
      <c r="H50" s="121">
        <f>IF('08_Tool_Capability'!Y$76=0,"audit_trail ","")&amp;IF('08_Tool_Capability'!AP$76=0,"vapt ","")</f>
        <v/>
      </c>
      <c r="I50" s="99" t="inlineStr">
        <is>
          <t>มาตรฐานเว็บไซต์ 2568 — Self-Assessment รายปี
ITA (ป.ป.ช.) — การประเมินตนเองรายปี</t>
        </is>
      </c>
    </row>
    <row r="51" ht="34" customHeight="1">
      <c r="A51" s="116" t="inlineStr">
        <is>
          <t>C-AI-GOV</t>
        </is>
      </c>
      <c r="B51" s="117" t="inlineStr">
        <is>
          <t>การกำกับดูแลโมเดล AI</t>
        </is>
      </c>
      <c r="C51" s="116" t="inlineStr">
        <is>
          <t>บังคับเมื่อผลกระทบสูง</t>
        </is>
      </c>
      <c r="D51" s="118" t="inlineStr">
        <is>
          <t>กำกับดูแลเวอร์ชันโมเดล ที่มาของข้อมูล และเกณฑ์ผ่านก่อนนำโมเดลขึ้นใช้</t>
        </is>
      </c>
      <c r="E51" s="119" t="inlineStr"/>
      <c r="F51" s="119" t="inlineStr">
        <is>
          <t>version_tag, registry, quality_gate, artifact_sign</t>
        </is>
      </c>
      <c r="G51" s="120">
        <f>IF(('08_Tool_Capability'!W$76+'08_Tool_Capability'!V$76+'08_Tool_Capability'!AB$76+'08_Tool_Capability'!P$76)&gt;=4,"ผ่าน","ไม่ผ่าน")</f>
        <v/>
      </c>
      <c r="H51" s="121">
        <f>IF('08_Tool_Capability'!W$76=0,"version_tag ","")&amp;IF('08_Tool_Capability'!V$76=0,"registry ","")&amp;IF('08_Tool_Capability'!AB$76=0,"quality_gate ","")&amp;IF('08_Tool_Capability'!P$76=0,"artifact_sign ","")</f>
        <v/>
      </c>
      <c r="I51" s="99" t="inlineStr">
        <is>
          <t>ISO/IEC 42001:2023 — A.6 AI system life cycle</t>
        </is>
      </c>
    </row>
    <row r="52" ht="34" customHeight="1">
      <c r="A52" s="116" t="inlineStr">
        <is>
          <t>C-AI-DRIFT</t>
        </is>
      </c>
      <c r="B52" s="117" t="inlineStr">
        <is>
          <t>การกำกับดูแลโมเดล AI</t>
        </is>
      </c>
      <c r="C52" s="116" t="inlineStr">
        <is>
          <t>บังคับเมื่อผลกระทบสูง</t>
        </is>
      </c>
      <c r="D52" s="118" t="inlineStr">
        <is>
          <t>เฝ้าระวัง Model Drift และ Bias หลังนำขึ้นใช้งาน</t>
        </is>
      </c>
      <c r="E52" s="119" t="inlineStr"/>
      <c r="F52" s="119" t="inlineStr">
        <is>
          <t>monitoring, runtime_security</t>
        </is>
      </c>
      <c r="G52" s="120">
        <f>IF(('08_Tool_Capability'!AF$76+'08_Tool_Capability'!AE$76)&gt;=2,"ผ่าน","ไม่ผ่าน")</f>
        <v/>
      </c>
      <c r="H52" s="121">
        <f>IF('08_Tool_Capability'!AF$76=0,"monitoring ","")&amp;IF('08_Tool_Capability'!AE$76=0,"runtime_security ","")</f>
        <v/>
      </c>
      <c r="I52" s="99" t="inlineStr">
        <is>
          <t>ISO/IEC 42001:2023 — A.9 Performance monitoring</t>
        </is>
      </c>
    </row>
    <row r="54">
      <c r="D54" s="43" t="inlineStr">
        <is>
          <t>คะแนน Compliance (นับทุกมาตรการในระบบ)</t>
        </is>
      </c>
      <c r="G54" s="122">
        <f>COUNTIF(G3:G52,"ผ่าน")/COUNTA(G3:G52)</f>
        <v/>
      </c>
    </row>
    <row r="55">
      <c r="D55" s="40" t="inlineStr">
        <is>
          <t>จำนวนมาตรการที่ไม่ผ่าน</t>
        </is>
      </c>
      <c r="G55" s="123">
        <f>COUNTIF(G3:G52,"ไม่ผ่าน")</f>
        <v/>
      </c>
    </row>
    <row r="57">
      <c r="A57" s="49" t="inlineStr">
        <is>
          <t>หมายเหตุ: คะแนนในชีทนี้นับทุกมาตรการที่มีในระบบ ไม่ได้กรองตามมาตรฐานที่โครงการเลือก — ถ้าต้องการคะแนนตามชุดมาตรฐานที่เลือกจริง ให้ใช้โปรแกรมเว็บ (แท็บ 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7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10" customWidth="1" min="45" max="45"/>
  </cols>
  <sheetData>
    <row r="1" ht="24" customHeight="1">
      <c r="A1" s="8" t="inlineStr">
        <is>
          <t>08 — เมทริกซ์เครื่องมือ x Capability</t>
        </is>
      </c>
      <c r="C1" s="3" t="inlineStr">
        <is>
          <t>1 = เครื่องมือนี้ตอบ capability นั้นได้ | ใช้เป็นฐานของการตรวจ compliance ในชีท 07</t>
        </is>
      </c>
    </row>
    <row r="2" ht="110" customHeight="1">
      <c r="A2" s="9" t="inlineStr">
        <is>
          <t>tool_id</t>
        </is>
      </c>
      <c r="B2" s="9" t="inlineStr">
        <is>
          <t>เครื่องมือ</t>
        </is>
      </c>
      <c r="C2" s="124" t="inlineStr">
        <is>
          <t>git_scm</t>
        </is>
      </c>
      <c r="D2" s="124" t="inlineStr">
        <is>
          <t>webhook</t>
        </is>
      </c>
      <c r="E2" s="124" t="inlineStr">
        <is>
          <t>branch_protection</t>
        </is>
      </c>
      <c r="F2" s="124" t="inlineStr">
        <is>
          <t>pipeline</t>
        </is>
      </c>
      <c r="G2" s="124" t="inlineStr">
        <is>
          <t>sast</t>
        </is>
      </c>
      <c r="H2" s="124" t="inlineStr">
        <is>
          <t>secret_scan</t>
        </is>
      </c>
      <c r="I2" s="124" t="inlineStr">
        <is>
          <t>sca</t>
        </is>
      </c>
      <c r="J2" s="124" t="inlineStr">
        <is>
          <t>license</t>
        </is>
      </c>
      <c r="K2" s="124" t="inlineStr">
        <is>
          <t>code_quality</t>
        </is>
      </c>
      <c r="L2" s="124" t="inlineStr">
        <is>
          <t>build</t>
        </is>
      </c>
      <c r="M2" s="124" t="inlineStr">
        <is>
          <t>image_build</t>
        </is>
      </c>
      <c r="N2" s="124" t="inlineStr">
        <is>
          <t>container_scan</t>
        </is>
      </c>
      <c r="O2" s="124" t="inlineStr">
        <is>
          <t>iac_scan</t>
        </is>
      </c>
      <c r="P2" s="124" t="inlineStr">
        <is>
          <t>artifact_sign</t>
        </is>
      </c>
      <c r="Q2" s="124" t="inlineStr">
        <is>
          <t>unit_test</t>
        </is>
      </c>
      <c r="R2" s="124" t="inlineStr">
        <is>
          <t>integration_test</t>
        </is>
      </c>
      <c r="S2" s="124" t="inlineStr">
        <is>
          <t>dast</t>
        </is>
      </c>
      <c r="T2" s="124" t="inlineStr">
        <is>
          <t>api_security</t>
        </is>
      </c>
      <c r="U2" s="124" t="inlineStr">
        <is>
          <t>perf_test</t>
        </is>
      </c>
      <c r="V2" s="124" t="inlineStr">
        <is>
          <t>registry</t>
        </is>
      </c>
      <c r="W2" s="124" t="inlineStr">
        <is>
          <t>version_tag</t>
        </is>
      </c>
      <c r="X2" s="124" t="inlineStr">
        <is>
          <t>sbom</t>
        </is>
      </c>
      <c r="Y2" s="124" t="inlineStr">
        <is>
          <t>audit_trail</t>
        </is>
      </c>
      <c r="Z2" s="124" t="inlineStr">
        <is>
          <t>log_mgmt</t>
        </is>
      </c>
      <c r="AA2" s="124" t="inlineStr">
        <is>
          <t>siem_alert</t>
        </is>
      </c>
      <c r="AB2" s="124" t="inlineStr">
        <is>
          <t>quality_gate</t>
        </is>
      </c>
      <c r="AC2" s="124" t="inlineStr">
        <is>
          <t>deploy_strategy</t>
        </is>
      </c>
      <c r="AD2" s="124" t="inlineStr">
        <is>
          <t>orchestration</t>
        </is>
      </c>
      <c r="AE2" s="124" t="inlineStr">
        <is>
          <t>runtime_security</t>
        </is>
      </c>
      <c r="AF2" s="124" t="inlineStr">
        <is>
          <t>monitoring</t>
        </is>
      </c>
      <c r="AG2" s="124" t="inlineStr">
        <is>
          <t>secret_mgmt</t>
        </is>
      </c>
      <c r="AH2" s="124" t="inlineStr">
        <is>
          <t>config_mgmt</t>
        </is>
      </c>
      <c r="AI2" s="124" t="inlineStr">
        <is>
          <t>waf</t>
        </is>
      </c>
      <c r="AJ2" s="124" t="inlineStr">
        <is>
          <t>tls_check</t>
        </is>
      </c>
      <c r="AK2" s="124" t="inlineStr">
        <is>
          <t>accessibility</t>
        </is>
      </c>
      <c r="AL2" s="124" t="inlineStr">
        <is>
          <t>cspm</t>
        </is>
      </c>
      <c r="AM2" s="124" t="inlineStr">
        <is>
          <t>backup_dr</t>
        </is>
      </c>
      <c r="AN2" s="124" t="inlineStr">
        <is>
          <t>iam_mfa</t>
        </is>
      </c>
      <c r="AO2" s="124" t="inlineStr">
        <is>
          <t>crypto_agility</t>
        </is>
      </c>
      <c r="AP2" s="124" t="inlineStr">
        <is>
          <t>vapt</t>
        </is>
      </c>
      <c r="AQ2" s="124" t="inlineStr">
        <is>
          <t>notify</t>
        </is>
      </c>
      <c r="AS2" s="125" t="inlineStr">
        <is>
          <t>เลือกใน VM ใดก็ได้</t>
        </is>
      </c>
    </row>
    <row r="3" ht="16" customHeight="1">
      <c r="A3" s="126" t="inlineStr">
        <is>
          <t>gitlab-ce</t>
        </is>
      </c>
      <c r="B3" s="126" t="inlineStr">
        <is>
          <t>GitLab Community Edition (Self-hosted Git)</t>
        </is>
      </c>
      <c r="C3" s="127" t="n">
        <v>1</v>
      </c>
      <c r="D3" s="127" t="n">
        <v>1</v>
      </c>
      <c r="E3" s="127" t="n">
        <v>1</v>
      </c>
      <c r="F3" s="127" t="n">
        <v>1</v>
      </c>
      <c r="G3" s="128" t="n">
        <v>0</v>
      </c>
      <c r="H3" s="128" t="n">
        <v>0</v>
      </c>
      <c r="I3" s="128" t="n">
        <v>0</v>
      </c>
      <c r="J3" s="128" t="n">
        <v>0</v>
      </c>
      <c r="K3" s="128" t="n">
        <v>0</v>
      </c>
      <c r="L3" s="128" t="n">
        <v>0</v>
      </c>
      <c r="M3" s="128" t="n">
        <v>0</v>
      </c>
      <c r="N3" s="128" t="n">
        <v>0</v>
      </c>
      <c r="O3" s="128" t="n">
        <v>0</v>
      </c>
      <c r="P3" s="128" t="n">
        <v>0</v>
      </c>
      <c r="Q3" s="128" t="n">
        <v>0</v>
      </c>
      <c r="R3" s="128" t="n">
        <v>0</v>
      </c>
      <c r="S3" s="128" t="n">
        <v>0</v>
      </c>
      <c r="T3" s="128" t="n">
        <v>0</v>
      </c>
      <c r="U3" s="128" t="n">
        <v>0</v>
      </c>
      <c r="V3" s="128" t="n">
        <v>0</v>
      </c>
      <c r="W3" s="128" t="n">
        <v>0</v>
      </c>
      <c r="X3" s="128" t="n">
        <v>0</v>
      </c>
      <c r="Y3" s="127" t="n">
        <v>1</v>
      </c>
      <c r="Z3" s="128" t="n">
        <v>0</v>
      </c>
      <c r="AA3" s="128" t="n">
        <v>0</v>
      </c>
      <c r="AB3" s="128" t="n">
        <v>0</v>
      </c>
      <c r="AC3" s="128" t="n">
        <v>0</v>
      </c>
      <c r="AD3" s="128" t="n">
        <v>0</v>
      </c>
      <c r="AE3" s="128" t="n">
        <v>0</v>
      </c>
      <c r="AF3" s="128" t="n">
        <v>0</v>
      </c>
      <c r="AG3" s="128" t="n">
        <v>0</v>
      </c>
      <c r="AH3" s="128" t="n">
        <v>0</v>
      </c>
      <c r="AI3" s="128" t="n">
        <v>0</v>
      </c>
      <c r="AJ3" s="128" t="n">
        <v>0</v>
      </c>
      <c r="AK3" s="128" t="n">
        <v>0</v>
      </c>
      <c r="AL3" s="128" t="n">
        <v>0</v>
      </c>
      <c r="AM3" s="128" t="n">
        <v>0</v>
      </c>
      <c r="AN3" s="128" t="n">
        <v>0</v>
      </c>
      <c r="AO3" s="128" t="n">
        <v>0</v>
      </c>
      <c r="AP3" s="128" t="n">
        <v>0</v>
      </c>
      <c r="AQ3" s="128" t="n">
        <v>0</v>
      </c>
      <c r="AS3" s="129">
        <f>IF(SUM('03_Colocation_Calc'!$T$3:$AC$3)&gt;0,1,0)</f>
        <v/>
      </c>
    </row>
    <row r="4" ht="16" customHeight="1">
      <c r="A4" s="126" t="inlineStr">
        <is>
          <t>gitea</t>
        </is>
      </c>
      <c r="B4" s="126" t="inlineStr">
        <is>
          <t>Gitea / Forgejo (Lightweight Git)</t>
        </is>
      </c>
      <c r="C4" s="127" t="n">
        <v>1</v>
      </c>
      <c r="D4" s="127" t="n">
        <v>1</v>
      </c>
      <c r="E4" s="127" t="n">
        <v>1</v>
      </c>
      <c r="F4" s="128" t="n">
        <v>0</v>
      </c>
      <c r="G4" s="128" t="n">
        <v>0</v>
      </c>
      <c r="H4" s="128" t="n">
        <v>0</v>
      </c>
      <c r="I4" s="128" t="n">
        <v>0</v>
      </c>
      <c r="J4" s="128" t="n">
        <v>0</v>
      </c>
      <c r="K4" s="128" t="n">
        <v>0</v>
      </c>
      <c r="L4" s="128" t="n">
        <v>0</v>
      </c>
      <c r="M4" s="128" t="n">
        <v>0</v>
      </c>
      <c r="N4" s="128" t="n">
        <v>0</v>
      </c>
      <c r="O4" s="128" t="n">
        <v>0</v>
      </c>
      <c r="P4" s="128" t="n">
        <v>0</v>
      </c>
      <c r="Q4" s="128" t="n">
        <v>0</v>
      </c>
      <c r="R4" s="128" t="n">
        <v>0</v>
      </c>
      <c r="S4" s="128" t="n">
        <v>0</v>
      </c>
      <c r="T4" s="128" t="n">
        <v>0</v>
      </c>
      <c r="U4" s="128" t="n">
        <v>0</v>
      </c>
      <c r="V4" s="128" t="n">
        <v>0</v>
      </c>
      <c r="W4" s="128" t="n">
        <v>0</v>
      </c>
      <c r="X4" s="128" t="n">
        <v>0</v>
      </c>
      <c r="Y4" s="127" t="n">
        <v>1</v>
      </c>
      <c r="Z4" s="128" t="n">
        <v>0</v>
      </c>
      <c r="AA4" s="128" t="n">
        <v>0</v>
      </c>
      <c r="AB4" s="128" t="n">
        <v>0</v>
      </c>
      <c r="AC4" s="128" t="n">
        <v>0</v>
      </c>
      <c r="AD4" s="128" t="n">
        <v>0</v>
      </c>
      <c r="AE4" s="128" t="n">
        <v>0</v>
      </c>
      <c r="AF4" s="128" t="n">
        <v>0</v>
      </c>
      <c r="AG4" s="128" t="n">
        <v>0</v>
      </c>
      <c r="AH4" s="128" t="n">
        <v>0</v>
      </c>
      <c r="AI4" s="128" t="n">
        <v>0</v>
      </c>
      <c r="AJ4" s="128" t="n">
        <v>0</v>
      </c>
      <c r="AK4" s="128" t="n">
        <v>0</v>
      </c>
      <c r="AL4" s="128" t="n">
        <v>0</v>
      </c>
      <c r="AM4" s="128" t="n">
        <v>0</v>
      </c>
      <c r="AN4" s="128" t="n">
        <v>0</v>
      </c>
      <c r="AO4" s="128" t="n">
        <v>0</v>
      </c>
      <c r="AP4" s="128" t="n">
        <v>0</v>
      </c>
      <c r="AQ4" s="128" t="n">
        <v>0</v>
      </c>
      <c r="AS4" s="129">
        <f>IF(SUM('03_Colocation_Calc'!$T$4:$AC$4)&gt;0,1,0)</f>
        <v/>
      </c>
    </row>
    <row r="5" ht="16" customHeight="1">
      <c r="A5" s="126" t="inlineStr">
        <is>
          <t>github-actions-runner</t>
        </is>
      </c>
      <c r="B5" s="126" t="inlineStr">
        <is>
          <t>GitHub Actions Self-hosted Runner</t>
        </is>
      </c>
      <c r="C5" s="128" t="n">
        <v>0</v>
      </c>
      <c r="D5" s="127" t="n">
        <v>1</v>
      </c>
      <c r="E5" s="128" t="n">
        <v>0</v>
      </c>
      <c r="F5" s="127" t="n">
        <v>1</v>
      </c>
      <c r="G5" s="128" t="n">
        <v>0</v>
      </c>
      <c r="H5" s="128" t="n">
        <v>0</v>
      </c>
      <c r="I5" s="128" t="n">
        <v>0</v>
      </c>
      <c r="J5" s="128" t="n">
        <v>0</v>
      </c>
      <c r="K5" s="128" t="n">
        <v>0</v>
      </c>
      <c r="L5" s="127" t="n">
        <v>1</v>
      </c>
      <c r="M5" s="128" t="n">
        <v>0</v>
      </c>
      <c r="N5" s="128" t="n">
        <v>0</v>
      </c>
      <c r="O5" s="128" t="n">
        <v>0</v>
      </c>
      <c r="P5" s="128" t="n">
        <v>0</v>
      </c>
      <c r="Q5" s="128" t="n">
        <v>0</v>
      </c>
      <c r="R5" s="128" t="n">
        <v>0</v>
      </c>
      <c r="S5" s="128" t="n">
        <v>0</v>
      </c>
      <c r="T5" s="128" t="n">
        <v>0</v>
      </c>
      <c r="U5" s="128" t="n">
        <v>0</v>
      </c>
      <c r="V5" s="128" t="n">
        <v>0</v>
      </c>
      <c r="W5" s="128" t="n">
        <v>0</v>
      </c>
      <c r="X5" s="128" t="n">
        <v>0</v>
      </c>
      <c r="Y5" s="128" t="n">
        <v>0</v>
      </c>
      <c r="Z5" s="128" t="n">
        <v>0</v>
      </c>
      <c r="AA5" s="128" t="n">
        <v>0</v>
      </c>
      <c r="AB5" s="128" t="n">
        <v>0</v>
      </c>
      <c r="AC5" s="128" t="n">
        <v>0</v>
      </c>
      <c r="AD5" s="128" t="n">
        <v>0</v>
      </c>
      <c r="AE5" s="128" t="n">
        <v>0</v>
      </c>
      <c r="AF5" s="128" t="n">
        <v>0</v>
      </c>
      <c r="AG5" s="128" t="n">
        <v>0</v>
      </c>
      <c r="AH5" s="128" t="n">
        <v>0</v>
      </c>
      <c r="AI5" s="128" t="n">
        <v>0</v>
      </c>
      <c r="AJ5" s="128" t="n">
        <v>0</v>
      </c>
      <c r="AK5" s="128" t="n">
        <v>0</v>
      </c>
      <c r="AL5" s="128" t="n">
        <v>0</v>
      </c>
      <c r="AM5" s="128" t="n">
        <v>0</v>
      </c>
      <c r="AN5" s="128" t="n">
        <v>0</v>
      </c>
      <c r="AO5" s="128" t="n">
        <v>0</v>
      </c>
      <c r="AP5" s="128" t="n">
        <v>0</v>
      </c>
      <c r="AQ5" s="128" t="n">
        <v>0</v>
      </c>
      <c r="AS5" s="129">
        <f>IF(SUM('03_Colocation_Calc'!$T$5:$AC$5)&gt;0,1,0)</f>
        <v/>
      </c>
    </row>
    <row r="6" ht="16" customHeight="1">
      <c r="A6" s="126" t="inlineStr">
        <is>
          <t>jenkins-master</t>
        </is>
      </c>
      <c r="B6" s="126" t="inlineStr">
        <is>
          <t>Jenkins Master / Controller</t>
        </is>
      </c>
      <c r="C6" s="128" t="n">
        <v>0</v>
      </c>
      <c r="D6" s="127" t="n">
        <v>1</v>
      </c>
      <c r="E6" s="128" t="n">
        <v>0</v>
      </c>
      <c r="F6" s="127" t="n">
        <v>1</v>
      </c>
      <c r="G6" s="128" t="n">
        <v>0</v>
      </c>
      <c r="H6" s="128" t="n">
        <v>0</v>
      </c>
      <c r="I6" s="128" t="n">
        <v>0</v>
      </c>
      <c r="J6" s="128" t="n">
        <v>0</v>
      </c>
      <c r="K6" s="128" t="n">
        <v>0</v>
      </c>
      <c r="L6" s="128" t="n">
        <v>0</v>
      </c>
      <c r="M6" s="128" t="n">
        <v>0</v>
      </c>
      <c r="N6" s="128" t="n">
        <v>0</v>
      </c>
      <c r="O6" s="128" t="n">
        <v>0</v>
      </c>
      <c r="P6" s="128" t="n">
        <v>0</v>
      </c>
      <c r="Q6" s="128" t="n">
        <v>0</v>
      </c>
      <c r="R6" s="128" t="n">
        <v>0</v>
      </c>
      <c r="S6" s="128" t="n">
        <v>0</v>
      </c>
      <c r="T6" s="128" t="n">
        <v>0</v>
      </c>
      <c r="U6" s="128" t="n">
        <v>0</v>
      </c>
      <c r="V6" s="128" t="n">
        <v>0</v>
      </c>
      <c r="W6" s="128" t="n">
        <v>0</v>
      </c>
      <c r="X6" s="128" t="n">
        <v>0</v>
      </c>
      <c r="Y6" s="127" t="n">
        <v>1</v>
      </c>
      <c r="Z6" s="128" t="n">
        <v>0</v>
      </c>
      <c r="AA6" s="128" t="n">
        <v>0</v>
      </c>
      <c r="AB6" s="127" t="n">
        <v>1</v>
      </c>
      <c r="AC6" s="128" t="n">
        <v>0</v>
      </c>
      <c r="AD6" s="128" t="n">
        <v>0</v>
      </c>
      <c r="AE6" s="128" t="n">
        <v>0</v>
      </c>
      <c r="AF6" s="128" t="n">
        <v>0</v>
      </c>
      <c r="AG6" s="128" t="n">
        <v>0</v>
      </c>
      <c r="AH6" s="128" t="n">
        <v>0</v>
      </c>
      <c r="AI6" s="128" t="n">
        <v>0</v>
      </c>
      <c r="AJ6" s="128" t="n">
        <v>0</v>
      </c>
      <c r="AK6" s="128" t="n">
        <v>0</v>
      </c>
      <c r="AL6" s="128" t="n">
        <v>0</v>
      </c>
      <c r="AM6" s="128" t="n">
        <v>0</v>
      </c>
      <c r="AN6" s="128" t="n">
        <v>0</v>
      </c>
      <c r="AO6" s="128" t="n">
        <v>0</v>
      </c>
      <c r="AP6" s="128" t="n">
        <v>0</v>
      </c>
      <c r="AQ6" s="127" t="n">
        <v>1</v>
      </c>
      <c r="AS6" s="129">
        <f>IF(SUM('03_Colocation_Calc'!$T$6:$AC$6)&gt;0,1,0)</f>
        <v/>
      </c>
    </row>
    <row r="7" ht="16" customHeight="1">
      <c r="A7" s="126" t="inlineStr">
        <is>
          <t>jenkins-agent</t>
        </is>
      </c>
      <c r="B7" s="126" t="inlineStr">
        <is>
          <t>Jenkins Agent / Build Executor (ต่อ 1 Executor)</t>
        </is>
      </c>
      <c r="C7" s="128" t="n">
        <v>0</v>
      </c>
      <c r="D7" s="128" t="n">
        <v>0</v>
      </c>
      <c r="E7" s="128" t="n">
        <v>0</v>
      </c>
      <c r="F7" s="127" t="n">
        <v>1</v>
      </c>
      <c r="G7" s="128" t="n">
        <v>0</v>
      </c>
      <c r="H7" s="128" t="n">
        <v>0</v>
      </c>
      <c r="I7" s="128" t="n">
        <v>0</v>
      </c>
      <c r="J7" s="128" t="n">
        <v>0</v>
      </c>
      <c r="K7" s="128" t="n">
        <v>0</v>
      </c>
      <c r="L7" s="127" t="n">
        <v>1</v>
      </c>
      <c r="M7" s="128" t="n">
        <v>0</v>
      </c>
      <c r="N7" s="128" t="n">
        <v>0</v>
      </c>
      <c r="O7" s="128" t="n">
        <v>0</v>
      </c>
      <c r="P7" s="128" t="n">
        <v>0</v>
      </c>
      <c r="Q7" s="127" t="n">
        <v>1</v>
      </c>
      <c r="R7" s="128" t="n">
        <v>0</v>
      </c>
      <c r="S7" s="128" t="n">
        <v>0</v>
      </c>
      <c r="T7" s="128" t="n">
        <v>0</v>
      </c>
      <c r="U7" s="128" t="n">
        <v>0</v>
      </c>
      <c r="V7" s="128" t="n">
        <v>0</v>
      </c>
      <c r="W7" s="128" t="n">
        <v>0</v>
      </c>
      <c r="X7" s="128" t="n">
        <v>0</v>
      </c>
      <c r="Y7" s="128" t="n">
        <v>0</v>
      </c>
      <c r="Z7" s="128" t="n">
        <v>0</v>
      </c>
      <c r="AA7" s="128" t="n">
        <v>0</v>
      </c>
      <c r="AB7" s="128" t="n">
        <v>0</v>
      </c>
      <c r="AC7" s="128" t="n">
        <v>0</v>
      </c>
      <c r="AD7" s="128" t="n">
        <v>0</v>
      </c>
      <c r="AE7" s="128" t="n">
        <v>0</v>
      </c>
      <c r="AF7" s="128" t="n">
        <v>0</v>
      </c>
      <c r="AG7" s="128" t="n">
        <v>0</v>
      </c>
      <c r="AH7" s="128" t="n">
        <v>0</v>
      </c>
      <c r="AI7" s="128" t="n">
        <v>0</v>
      </c>
      <c r="AJ7" s="128" t="n">
        <v>0</v>
      </c>
      <c r="AK7" s="128" t="n">
        <v>0</v>
      </c>
      <c r="AL7" s="128" t="n">
        <v>0</v>
      </c>
      <c r="AM7" s="128" t="n">
        <v>0</v>
      </c>
      <c r="AN7" s="128" t="n">
        <v>0</v>
      </c>
      <c r="AO7" s="128" t="n">
        <v>0</v>
      </c>
      <c r="AP7" s="128" t="n">
        <v>0</v>
      </c>
      <c r="AQ7" s="128" t="n">
        <v>0</v>
      </c>
      <c r="AS7" s="129">
        <f>IF(SUM('03_Colocation_Calc'!$T$7:$AC$7)&gt;0,1,0)</f>
        <v/>
      </c>
    </row>
    <row r="8" ht="16" customHeight="1">
      <c r="A8" s="126" t="inlineStr">
        <is>
          <t>argo-workflows</t>
        </is>
      </c>
      <c r="B8" s="126" t="inlineStr">
        <is>
          <t>Argo Workflows (CNCF Graduated)</t>
        </is>
      </c>
      <c r="C8" s="128" t="n">
        <v>0</v>
      </c>
      <c r="D8" s="127" t="n">
        <v>1</v>
      </c>
      <c r="E8" s="128" t="n">
        <v>0</v>
      </c>
      <c r="F8" s="127" t="n">
        <v>1</v>
      </c>
      <c r="G8" s="128" t="n">
        <v>0</v>
      </c>
      <c r="H8" s="128" t="n">
        <v>0</v>
      </c>
      <c r="I8" s="128" t="n">
        <v>0</v>
      </c>
      <c r="J8" s="128" t="n">
        <v>0</v>
      </c>
      <c r="K8" s="128" t="n">
        <v>0</v>
      </c>
      <c r="L8" s="128" t="n">
        <v>0</v>
      </c>
      <c r="M8" s="128" t="n">
        <v>0</v>
      </c>
      <c r="N8" s="128" t="n">
        <v>0</v>
      </c>
      <c r="O8" s="128" t="n">
        <v>0</v>
      </c>
      <c r="P8" s="128" t="n">
        <v>0</v>
      </c>
      <c r="Q8" s="128" t="n">
        <v>0</v>
      </c>
      <c r="R8" s="128" t="n">
        <v>0</v>
      </c>
      <c r="S8" s="128" t="n">
        <v>0</v>
      </c>
      <c r="T8" s="128" t="n">
        <v>0</v>
      </c>
      <c r="U8" s="128" t="n">
        <v>0</v>
      </c>
      <c r="V8" s="128" t="n">
        <v>0</v>
      </c>
      <c r="W8" s="128" t="n">
        <v>0</v>
      </c>
      <c r="X8" s="128" t="n">
        <v>0</v>
      </c>
      <c r="Y8" s="127" t="n">
        <v>1</v>
      </c>
      <c r="Z8" s="128" t="n">
        <v>0</v>
      </c>
      <c r="AA8" s="128" t="n">
        <v>0</v>
      </c>
      <c r="AB8" s="128" t="n">
        <v>0</v>
      </c>
      <c r="AC8" s="128" t="n">
        <v>0</v>
      </c>
      <c r="AD8" s="128" t="n">
        <v>0</v>
      </c>
      <c r="AE8" s="128" t="n">
        <v>0</v>
      </c>
      <c r="AF8" s="128" t="n">
        <v>0</v>
      </c>
      <c r="AG8" s="128" t="n">
        <v>0</v>
      </c>
      <c r="AH8" s="128" t="n">
        <v>0</v>
      </c>
      <c r="AI8" s="128" t="n">
        <v>0</v>
      </c>
      <c r="AJ8" s="128" t="n">
        <v>0</v>
      </c>
      <c r="AK8" s="128" t="n">
        <v>0</v>
      </c>
      <c r="AL8" s="128" t="n">
        <v>0</v>
      </c>
      <c r="AM8" s="128" t="n">
        <v>0</v>
      </c>
      <c r="AN8" s="128" t="n">
        <v>0</v>
      </c>
      <c r="AO8" s="128" t="n">
        <v>0</v>
      </c>
      <c r="AP8" s="128" t="n">
        <v>0</v>
      </c>
      <c r="AQ8" s="128" t="n">
        <v>0</v>
      </c>
      <c r="AS8" s="129">
        <f>IF(SUM('03_Colocation_Calc'!$T$8:$AC$8)&gt;0,1,0)</f>
        <v/>
      </c>
    </row>
    <row r="9" ht="16" customHeight="1">
      <c r="A9" s="126" t="inlineStr">
        <is>
          <t>opa-conftest</t>
        </is>
      </c>
      <c r="B9" s="126" t="inlineStr">
        <is>
          <t>Open Policy Agent / Conftest (Policy-as-Code Gate)</t>
        </is>
      </c>
      <c r="C9" s="128" t="n">
        <v>0</v>
      </c>
      <c r="D9" s="128" t="n">
        <v>0</v>
      </c>
      <c r="E9" s="127" t="n">
        <v>1</v>
      </c>
      <c r="F9" s="128" t="n">
        <v>0</v>
      </c>
      <c r="G9" s="128" t="n">
        <v>0</v>
      </c>
      <c r="H9" s="128" t="n">
        <v>0</v>
      </c>
      <c r="I9" s="128" t="n">
        <v>0</v>
      </c>
      <c r="J9" s="128" t="n">
        <v>0</v>
      </c>
      <c r="K9" s="128" t="n">
        <v>0</v>
      </c>
      <c r="L9" s="128" t="n">
        <v>0</v>
      </c>
      <c r="M9" s="128" t="n">
        <v>0</v>
      </c>
      <c r="N9" s="128" t="n">
        <v>0</v>
      </c>
      <c r="O9" s="127" t="n">
        <v>1</v>
      </c>
      <c r="P9" s="128" t="n">
        <v>0</v>
      </c>
      <c r="Q9" s="128" t="n">
        <v>0</v>
      </c>
      <c r="R9" s="128" t="n">
        <v>0</v>
      </c>
      <c r="S9" s="128" t="n">
        <v>0</v>
      </c>
      <c r="T9" s="128" t="n">
        <v>0</v>
      </c>
      <c r="U9" s="128" t="n">
        <v>0</v>
      </c>
      <c r="V9" s="128" t="n">
        <v>0</v>
      </c>
      <c r="W9" s="128" t="n">
        <v>0</v>
      </c>
      <c r="X9" s="128" t="n">
        <v>0</v>
      </c>
      <c r="Y9" s="128" t="n">
        <v>0</v>
      </c>
      <c r="Z9" s="128" t="n">
        <v>0</v>
      </c>
      <c r="AA9" s="128" t="n">
        <v>0</v>
      </c>
      <c r="AB9" s="127" t="n">
        <v>1</v>
      </c>
      <c r="AC9" s="128" t="n">
        <v>0</v>
      </c>
      <c r="AD9" s="128" t="n">
        <v>0</v>
      </c>
      <c r="AE9" s="128" t="n">
        <v>0</v>
      </c>
      <c r="AF9" s="128" t="n">
        <v>0</v>
      </c>
      <c r="AG9" s="128" t="n">
        <v>0</v>
      </c>
      <c r="AH9" s="128" t="n">
        <v>0</v>
      </c>
      <c r="AI9" s="128" t="n">
        <v>0</v>
      </c>
      <c r="AJ9" s="128" t="n">
        <v>0</v>
      </c>
      <c r="AK9" s="128" t="n">
        <v>0</v>
      </c>
      <c r="AL9" s="128" t="n">
        <v>0</v>
      </c>
      <c r="AM9" s="128" t="n">
        <v>0</v>
      </c>
      <c r="AN9" s="128" t="n">
        <v>0</v>
      </c>
      <c r="AO9" s="128" t="n">
        <v>0</v>
      </c>
      <c r="AP9" s="128" t="n">
        <v>0</v>
      </c>
      <c r="AQ9" s="128" t="n">
        <v>0</v>
      </c>
      <c r="AS9" s="129">
        <f>IF(SUM('03_Colocation_Calc'!$T$9:$AC$9)&gt;0,1,0)</f>
        <v/>
      </c>
    </row>
    <row r="10" ht="16" customHeight="1">
      <c r="A10" s="126" t="inlineStr">
        <is>
          <t>nginx-gateway</t>
        </is>
      </c>
      <c r="B10" s="126" t="inlineStr">
        <is>
          <t>Nginx (Reverse Proxy / Webhook Relay)</t>
        </is>
      </c>
      <c r="C10" s="128" t="n">
        <v>0</v>
      </c>
      <c r="D10" s="127" t="n">
        <v>1</v>
      </c>
      <c r="E10" s="128" t="n">
        <v>0</v>
      </c>
      <c r="F10" s="128" t="n">
        <v>0</v>
      </c>
      <c r="G10" s="128" t="n">
        <v>0</v>
      </c>
      <c r="H10" s="128" t="n">
        <v>0</v>
      </c>
      <c r="I10" s="128" t="n">
        <v>0</v>
      </c>
      <c r="J10" s="128" t="n">
        <v>0</v>
      </c>
      <c r="K10" s="128" t="n">
        <v>0</v>
      </c>
      <c r="L10" s="128" t="n">
        <v>0</v>
      </c>
      <c r="M10" s="128" t="n">
        <v>0</v>
      </c>
      <c r="N10" s="128" t="n">
        <v>0</v>
      </c>
      <c r="O10" s="128" t="n">
        <v>0</v>
      </c>
      <c r="P10" s="128" t="n">
        <v>0</v>
      </c>
      <c r="Q10" s="128" t="n">
        <v>0</v>
      </c>
      <c r="R10" s="128" t="n">
        <v>0</v>
      </c>
      <c r="S10" s="128" t="n">
        <v>0</v>
      </c>
      <c r="T10" s="128" t="n">
        <v>0</v>
      </c>
      <c r="U10" s="128" t="n">
        <v>0</v>
      </c>
      <c r="V10" s="128" t="n">
        <v>0</v>
      </c>
      <c r="W10" s="128" t="n">
        <v>0</v>
      </c>
      <c r="X10" s="128" t="n">
        <v>0</v>
      </c>
      <c r="Y10" s="128" t="n">
        <v>0</v>
      </c>
      <c r="Z10" s="128" t="n">
        <v>0</v>
      </c>
      <c r="AA10" s="128" t="n">
        <v>0</v>
      </c>
      <c r="AB10" s="128" t="n">
        <v>0</v>
      </c>
      <c r="AC10" s="128" t="n">
        <v>0</v>
      </c>
      <c r="AD10" s="128" t="n">
        <v>0</v>
      </c>
      <c r="AE10" s="128" t="n">
        <v>0</v>
      </c>
      <c r="AF10" s="128" t="n">
        <v>0</v>
      </c>
      <c r="AG10" s="128" t="n">
        <v>0</v>
      </c>
      <c r="AH10" s="128" t="n">
        <v>0</v>
      </c>
      <c r="AI10" s="128" t="n">
        <v>0</v>
      </c>
      <c r="AJ10" s="127" t="n">
        <v>1</v>
      </c>
      <c r="AK10" s="128" t="n">
        <v>0</v>
      </c>
      <c r="AL10" s="128" t="n">
        <v>0</v>
      </c>
      <c r="AM10" s="128" t="n">
        <v>0</v>
      </c>
      <c r="AN10" s="128" t="n">
        <v>0</v>
      </c>
      <c r="AO10" s="128" t="n">
        <v>0</v>
      </c>
      <c r="AP10" s="128" t="n">
        <v>0</v>
      </c>
      <c r="AQ10" s="128" t="n">
        <v>0</v>
      </c>
      <c r="AS10" s="129">
        <f>IF(SUM('03_Colocation_Calc'!$T$10:$AC$10)&gt;0,1,0)</f>
        <v/>
      </c>
    </row>
    <row r="11" ht="16" customHeight="1">
      <c r="A11" s="126" t="inlineStr">
        <is>
          <t>sonarqube</t>
        </is>
      </c>
      <c r="B11" s="126" t="inlineStr">
        <is>
          <t>SonarQube Community Edition</t>
        </is>
      </c>
      <c r="C11" s="128" t="n">
        <v>0</v>
      </c>
      <c r="D11" s="128" t="n">
        <v>0</v>
      </c>
      <c r="E11" s="128" t="n">
        <v>0</v>
      </c>
      <c r="F11" s="128" t="n">
        <v>0</v>
      </c>
      <c r="G11" s="127" t="n">
        <v>1</v>
      </c>
      <c r="H11" s="128" t="n">
        <v>0</v>
      </c>
      <c r="I11" s="128" t="n">
        <v>0</v>
      </c>
      <c r="J11" s="128" t="n">
        <v>0</v>
      </c>
      <c r="K11" s="127" t="n">
        <v>1</v>
      </c>
      <c r="L11" s="128" t="n">
        <v>0</v>
      </c>
      <c r="M11" s="128" t="n">
        <v>0</v>
      </c>
      <c r="N11" s="128" t="n">
        <v>0</v>
      </c>
      <c r="O11" s="128" t="n">
        <v>0</v>
      </c>
      <c r="P11" s="128" t="n">
        <v>0</v>
      </c>
      <c r="Q11" s="128" t="n">
        <v>0</v>
      </c>
      <c r="R11" s="128" t="n">
        <v>0</v>
      </c>
      <c r="S11" s="128" t="n">
        <v>0</v>
      </c>
      <c r="T11" s="128" t="n">
        <v>0</v>
      </c>
      <c r="U11" s="128" t="n">
        <v>0</v>
      </c>
      <c r="V11" s="128" t="n">
        <v>0</v>
      </c>
      <c r="W11" s="128" t="n">
        <v>0</v>
      </c>
      <c r="X11" s="128" t="n">
        <v>0</v>
      </c>
      <c r="Y11" s="128" t="n">
        <v>0</v>
      </c>
      <c r="Z11" s="128" t="n">
        <v>0</v>
      </c>
      <c r="AA11" s="128" t="n">
        <v>0</v>
      </c>
      <c r="AB11" s="127" t="n">
        <v>1</v>
      </c>
      <c r="AC11" s="128" t="n">
        <v>0</v>
      </c>
      <c r="AD11" s="128" t="n">
        <v>0</v>
      </c>
      <c r="AE11" s="128" t="n">
        <v>0</v>
      </c>
      <c r="AF11" s="128" t="n">
        <v>0</v>
      </c>
      <c r="AG11" s="128" t="n">
        <v>0</v>
      </c>
      <c r="AH11" s="128" t="n">
        <v>0</v>
      </c>
      <c r="AI11" s="128" t="n">
        <v>0</v>
      </c>
      <c r="AJ11" s="128" t="n">
        <v>0</v>
      </c>
      <c r="AK11" s="128" t="n">
        <v>0</v>
      </c>
      <c r="AL11" s="128" t="n">
        <v>0</v>
      </c>
      <c r="AM11" s="128" t="n">
        <v>0</v>
      </c>
      <c r="AN11" s="128" t="n">
        <v>0</v>
      </c>
      <c r="AO11" s="128" t="n">
        <v>0</v>
      </c>
      <c r="AP11" s="128" t="n">
        <v>0</v>
      </c>
      <c r="AQ11" s="128" t="n">
        <v>0</v>
      </c>
      <c r="AS11" s="129">
        <f>IF(SUM('03_Colocation_Calc'!$T$11:$AC$11)&gt;0,1,0)</f>
        <v/>
      </c>
    </row>
    <row r="12" ht="16" customHeight="1">
      <c r="A12" s="126" t="inlineStr">
        <is>
          <t>postgresql-tools</t>
        </is>
      </c>
      <c r="B12" s="126" t="inlineStr">
        <is>
          <t>PostgreSQL (ฐานข้อมูลของเครื่องมือ CI/CD)</t>
        </is>
      </c>
      <c r="C12" s="128" t="n">
        <v>0</v>
      </c>
      <c r="D12" s="128" t="n">
        <v>0</v>
      </c>
      <c r="E12" s="128" t="n">
        <v>0</v>
      </c>
      <c r="F12" s="128" t="n">
        <v>0</v>
      </c>
      <c r="G12" s="128" t="n">
        <v>0</v>
      </c>
      <c r="H12" s="128" t="n">
        <v>0</v>
      </c>
      <c r="I12" s="128" t="n">
        <v>0</v>
      </c>
      <c r="J12" s="128" t="n">
        <v>0</v>
      </c>
      <c r="K12" s="128" t="n">
        <v>0</v>
      </c>
      <c r="L12" s="128" t="n">
        <v>0</v>
      </c>
      <c r="M12" s="128" t="n">
        <v>0</v>
      </c>
      <c r="N12" s="128" t="n">
        <v>0</v>
      </c>
      <c r="O12" s="128" t="n">
        <v>0</v>
      </c>
      <c r="P12" s="128" t="n">
        <v>0</v>
      </c>
      <c r="Q12" s="128" t="n">
        <v>0</v>
      </c>
      <c r="R12" s="128" t="n">
        <v>0</v>
      </c>
      <c r="S12" s="128" t="n">
        <v>0</v>
      </c>
      <c r="T12" s="128" t="n">
        <v>0</v>
      </c>
      <c r="U12" s="128" t="n">
        <v>0</v>
      </c>
      <c r="V12" s="128" t="n">
        <v>0</v>
      </c>
      <c r="W12" s="128" t="n">
        <v>0</v>
      </c>
      <c r="X12" s="128" t="n">
        <v>0</v>
      </c>
      <c r="Y12" s="127" t="n">
        <v>1</v>
      </c>
      <c r="Z12" s="128" t="n">
        <v>0</v>
      </c>
      <c r="AA12" s="128" t="n">
        <v>0</v>
      </c>
      <c r="AB12" s="128" t="n">
        <v>0</v>
      </c>
      <c r="AC12" s="128" t="n">
        <v>0</v>
      </c>
      <c r="AD12" s="128" t="n">
        <v>0</v>
      </c>
      <c r="AE12" s="128" t="n">
        <v>0</v>
      </c>
      <c r="AF12" s="128" t="n">
        <v>0</v>
      </c>
      <c r="AG12" s="128" t="n">
        <v>0</v>
      </c>
      <c r="AH12" s="128" t="n">
        <v>0</v>
      </c>
      <c r="AI12" s="128" t="n">
        <v>0</v>
      </c>
      <c r="AJ12" s="128" t="n">
        <v>0</v>
      </c>
      <c r="AK12" s="128" t="n">
        <v>0</v>
      </c>
      <c r="AL12" s="128" t="n">
        <v>0</v>
      </c>
      <c r="AM12" s="128" t="n">
        <v>0</v>
      </c>
      <c r="AN12" s="128" t="n">
        <v>0</v>
      </c>
      <c r="AO12" s="128" t="n">
        <v>0</v>
      </c>
      <c r="AP12" s="128" t="n">
        <v>0</v>
      </c>
      <c r="AQ12" s="128" t="n">
        <v>0</v>
      </c>
      <c r="AS12" s="129">
        <f>IF(SUM('03_Colocation_Calc'!$T$12:$AC$12)&gt;0,1,0)</f>
        <v/>
      </c>
    </row>
    <row r="13" ht="16" customHeight="1">
      <c r="A13" s="126" t="inlineStr">
        <is>
          <t>semgrep</t>
        </is>
      </c>
      <c r="B13" s="126" t="inlineStr">
        <is>
          <t>Semgrep (SAST แบบ Rule-based)</t>
        </is>
      </c>
      <c r="C13" s="128" t="n">
        <v>0</v>
      </c>
      <c r="D13" s="128" t="n">
        <v>0</v>
      </c>
      <c r="E13" s="128" t="n">
        <v>0</v>
      </c>
      <c r="F13" s="128" t="n">
        <v>0</v>
      </c>
      <c r="G13" s="127" t="n">
        <v>1</v>
      </c>
      <c r="H13" s="128" t="n">
        <v>0</v>
      </c>
      <c r="I13" s="128" t="n">
        <v>0</v>
      </c>
      <c r="J13" s="128" t="n">
        <v>0</v>
      </c>
      <c r="K13" s="128" t="n">
        <v>0</v>
      </c>
      <c r="L13" s="128" t="n">
        <v>0</v>
      </c>
      <c r="M13" s="128" t="n">
        <v>0</v>
      </c>
      <c r="N13" s="128" t="n">
        <v>0</v>
      </c>
      <c r="O13" s="128" t="n">
        <v>0</v>
      </c>
      <c r="P13" s="128" t="n">
        <v>0</v>
      </c>
      <c r="Q13" s="128" t="n">
        <v>0</v>
      </c>
      <c r="R13" s="128" t="n">
        <v>0</v>
      </c>
      <c r="S13" s="128" t="n">
        <v>0</v>
      </c>
      <c r="T13" s="128" t="n">
        <v>0</v>
      </c>
      <c r="U13" s="128" t="n">
        <v>0</v>
      </c>
      <c r="V13" s="128" t="n">
        <v>0</v>
      </c>
      <c r="W13" s="128" t="n">
        <v>0</v>
      </c>
      <c r="X13" s="128" t="n">
        <v>0</v>
      </c>
      <c r="Y13" s="128" t="n">
        <v>0</v>
      </c>
      <c r="Z13" s="128" t="n">
        <v>0</v>
      </c>
      <c r="AA13" s="128" t="n">
        <v>0</v>
      </c>
      <c r="AB13" s="128" t="n">
        <v>0</v>
      </c>
      <c r="AC13" s="128" t="n">
        <v>0</v>
      </c>
      <c r="AD13" s="128" t="n">
        <v>0</v>
      </c>
      <c r="AE13" s="128" t="n">
        <v>0</v>
      </c>
      <c r="AF13" s="128" t="n">
        <v>0</v>
      </c>
      <c r="AG13" s="128" t="n">
        <v>0</v>
      </c>
      <c r="AH13" s="128" t="n">
        <v>0</v>
      </c>
      <c r="AI13" s="128" t="n">
        <v>0</v>
      </c>
      <c r="AJ13" s="128" t="n">
        <v>0</v>
      </c>
      <c r="AK13" s="128" t="n">
        <v>0</v>
      </c>
      <c r="AL13" s="128" t="n">
        <v>0</v>
      </c>
      <c r="AM13" s="128" t="n">
        <v>0</v>
      </c>
      <c r="AN13" s="128" t="n">
        <v>0</v>
      </c>
      <c r="AO13" s="128" t="n">
        <v>0</v>
      </c>
      <c r="AP13" s="128" t="n">
        <v>0</v>
      </c>
      <c r="AQ13" s="128" t="n">
        <v>0</v>
      </c>
      <c r="AS13" s="129">
        <f>IF(SUM('03_Colocation_Calc'!$T$13:$AC$13)&gt;0,1,0)</f>
        <v/>
      </c>
    </row>
    <row r="14" ht="16" customHeight="1">
      <c r="A14" s="126" t="inlineStr">
        <is>
          <t>gitleaks</t>
        </is>
      </c>
      <c r="B14" s="126" t="inlineStr">
        <is>
          <t>GitLeaks / TruffleHog (Secret Scanning)</t>
        </is>
      </c>
      <c r="C14" s="128" t="n">
        <v>0</v>
      </c>
      <c r="D14" s="128" t="n">
        <v>0</v>
      </c>
      <c r="E14" s="128" t="n">
        <v>0</v>
      </c>
      <c r="F14" s="128" t="n">
        <v>0</v>
      </c>
      <c r="G14" s="128" t="n">
        <v>0</v>
      </c>
      <c r="H14" s="127" t="n">
        <v>1</v>
      </c>
      <c r="I14" s="128" t="n">
        <v>0</v>
      </c>
      <c r="J14" s="128" t="n">
        <v>0</v>
      </c>
      <c r="K14" s="128" t="n">
        <v>0</v>
      </c>
      <c r="L14" s="128" t="n">
        <v>0</v>
      </c>
      <c r="M14" s="128" t="n">
        <v>0</v>
      </c>
      <c r="N14" s="128" t="n">
        <v>0</v>
      </c>
      <c r="O14" s="128" t="n">
        <v>0</v>
      </c>
      <c r="P14" s="128" t="n">
        <v>0</v>
      </c>
      <c r="Q14" s="128" t="n">
        <v>0</v>
      </c>
      <c r="R14" s="128" t="n">
        <v>0</v>
      </c>
      <c r="S14" s="128" t="n">
        <v>0</v>
      </c>
      <c r="T14" s="128" t="n">
        <v>0</v>
      </c>
      <c r="U14" s="128" t="n">
        <v>0</v>
      </c>
      <c r="V14" s="128" t="n">
        <v>0</v>
      </c>
      <c r="W14" s="128" t="n">
        <v>0</v>
      </c>
      <c r="X14" s="128" t="n">
        <v>0</v>
      </c>
      <c r="Y14" s="128" t="n">
        <v>0</v>
      </c>
      <c r="Z14" s="128" t="n">
        <v>0</v>
      </c>
      <c r="AA14" s="128" t="n">
        <v>0</v>
      </c>
      <c r="AB14" s="128" t="n">
        <v>0</v>
      </c>
      <c r="AC14" s="128" t="n">
        <v>0</v>
      </c>
      <c r="AD14" s="128" t="n">
        <v>0</v>
      </c>
      <c r="AE14" s="128" t="n">
        <v>0</v>
      </c>
      <c r="AF14" s="128" t="n">
        <v>0</v>
      </c>
      <c r="AG14" s="128" t="n">
        <v>0</v>
      </c>
      <c r="AH14" s="128" t="n">
        <v>0</v>
      </c>
      <c r="AI14" s="128" t="n">
        <v>0</v>
      </c>
      <c r="AJ14" s="128" t="n">
        <v>0</v>
      </c>
      <c r="AK14" s="128" t="n">
        <v>0</v>
      </c>
      <c r="AL14" s="128" t="n">
        <v>0</v>
      </c>
      <c r="AM14" s="128" t="n">
        <v>0</v>
      </c>
      <c r="AN14" s="128" t="n">
        <v>0</v>
      </c>
      <c r="AO14" s="128" t="n">
        <v>0</v>
      </c>
      <c r="AP14" s="128" t="n">
        <v>0</v>
      </c>
      <c r="AQ14" s="128" t="n">
        <v>0</v>
      </c>
      <c r="AS14" s="129">
        <f>IF(SUM('03_Colocation_Calc'!$T$14:$AC$14)&gt;0,1,0)</f>
        <v/>
      </c>
    </row>
    <row r="15" ht="16" customHeight="1">
      <c r="A15" s="126" t="inlineStr">
        <is>
          <t>dependency-check</t>
        </is>
      </c>
      <c r="B15" s="126" t="inlineStr">
        <is>
          <t>OWASP Dependency-Check (SCA)</t>
        </is>
      </c>
      <c r="C15" s="128" t="n">
        <v>0</v>
      </c>
      <c r="D15" s="128" t="n">
        <v>0</v>
      </c>
      <c r="E15" s="128" t="n">
        <v>0</v>
      </c>
      <c r="F15" s="128" t="n">
        <v>0</v>
      </c>
      <c r="G15" s="128" t="n">
        <v>0</v>
      </c>
      <c r="H15" s="128" t="n">
        <v>0</v>
      </c>
      <c r="I15" s="127" t="n">
        <v>1</v>
      </c>
      <c r="J15" s="128" t="n">
        <v>0</v>
      </c>
      <c r="K15" s="128" t="n">
        <v>0</v>
      </c>
      <c r="L15" s="128" t="n">
        <v>0</v>
      </c>
      <c r="M15" s="128" t="n">
        <v>0</v>
      </c>
      <c r="N15" s="128" t="n">
        <v>0</v>
      </c>
      <c r="O15" s="128" t="n">
        <v>0</v>
      </c>
      <c r="P15" s="128" t="n">
        <v>0</v>
      </c>
      <c r="Q15" s="128" t="n">
        <v>0</v>
      </c>
      <c r="R15" s="128" t="n">
        <v>0</v>
      </c>
      <c r="S15" s="128" t="n">
        <v>0</v>
      </c>
      <c r="T15" s="128" t="n">
        <v>0</v>
      </c>
      <c r="U15" s="128" t="n">
        <v>0</v>
      </c>
      <c r="V15" s="128" t="n">
        <v>0</v>
      </c>
      <c r="W15" s="128" t="n">
        <v>0</v>
      </c>
      <c r="X15" s="127" t="n">
        <v>1</v>
      </c>
      <c r="Y15" s="128" t="n">
        <v>0</v>
      </c>
      <c r="Z15" s="128" t="n">
        <v>0</v>
      </c>
      <c r="AA15" s="128" t="n">
        <v>0</v>
      </c>
      <c r="AB15" s="128" t="n">
        <v>0</v>
      </c>
      <c r="AC15" s="128" t="n">
        <v>0</v>
      </c>
      <c r="AD15" s="128" t="n">
        <v>0</v>
      </c>
      <c r="AE15" s="128" t="n">
        <v>0</v>
      </c>
      <c r="AF15" s="128" t="n">
        <v>0</v>
      </c>
      <c r="AG15" s="128" t="n">
        <v>0</v>
      </c>
      <c r="AH15" s="128" t="n">
        <v>0</v>
      </c>
      <c r="AI15" s="128" t="n">
        <v>0</v>
      </c>
      <c r="AJ15" s="128" t="n">
        <v>0</v>
      </c>
      <c r="AK15" s="128" t="n">
        <v>0</v>
      </c>
      <c r="AL15" s="128" t="n">
        <v>0</v>
      </c>
      <c r="AM15" s="128" t="n">
        <v>0</v>
      </c>
      <c r="AN15" s="128" t="n">
        <v>0</v>
      </c>
      <c r="AO15" s="128" t="n">
        <v>0</v>
      </c>
      <c r="AP15" s="128" t="n">
        <v>0</v>
      </c>
      <c r="AQ15" s="128" t="n">
        <v>0</v>
      </c>
      <c r="AS15" s="129">
        <f>IF(SUM('03_Colocation_Calc'!$T$15:$AC$15)&gt;0,1,0)</f>
        <v/>
      </c>
    </row>
    <row r="16" ht="16" customHeight="1">
      <c r="A16" s="126" t="inlineStr">
        <is>
          <t>trivy</t>
        </is>
      </c>
      <c r="B16" s="126" t="inlineStr">
        <is>
          <t>Trivy (SCA + Container + IaC + Secret ในตัวเดียว)</t>
        </is>
      </c>
      <c r="C16" s="128" t="n">
        <v>0</v>
      </c>
      <c r="D16" s="128" t="n">
        <v>0</v>
      </c>
      <c r="E16" s="128" t="n">
        <v>0</v>
      </c>
      <c r="F16" s="128" t="n">
        <v>0</v>
      </c>
      <c r="G16" s="128" t="n">
        <v>0</v>
      </c>
      <c r="H16" s="127" t="n">
        <v>1</v>
      </c>
      <c r="I16" s="127" t="n">
        <v>1</v>
      </c>
      <c r="J16" s="128" t="n">
        <v>0</v>
      </c>
      <c r="K16" s="128" t="n">
        <v>0</v>
      </c>
      <c r="L16" s="128" t="n">
        <v>0</v>
      </c>
      <c r="M16" s="128" t="n">
        <v>0</v>
      </c>
      <c r="N16" s="127" t="n">
        <v>1</v>
      </c>
      <c r="O16" s="127" t="n">
        <v>1</v>
      </c>
      <c r="P16" s="128" t="n">
        <v>0</v>
      </c>
      <c r="Q16" s="128" t="n">
        <v>0</v>
      </c>
      <c r="R16" s="128" t="n">
        <v>0</v>
      </c>
      <c r="S16" s="128" t="n">
        <v>0</v>
      </c>
      <c r="T16" s="128" t="n">
        <v>0</v>
      </c>
      <c r="U16" s="128" t="n">
        <v>0</v>
      </c>
      <c r="V16" s="128" t="n">
        <v>0</v>
      </c>
      <c r="W16" s="128" t="n">
        <v>0</v>
      </c>
      <c r="X16" s="127" t="n">
        <v>1</v>
      </c>
      <c r="Y16" s="128" t="n">
        <v>0</v>
      </c>
      <c r="Z16" s="128" t="n">
        <v>0</v>
      </c>
      <c r="AA16" s="128" t="n">
        <v>0</v>
      </c>
      <c r="AB16" s="128" t="n">
        <v>0</v>
      </c>
      <c r="AC16" s="128" t="n">
        <v>0</v>
      </c>
      <c r="AD16" s="128" t="n">
        <v>0</v>
      </c>
      <c r="AE16" s="128" t="n">
        <v>0</v>
      </c>
      <c r="AF16" s="128" t="n">
        <v>0</v>
      </c>
      <c r="AG16" s="128" t="n">
        <v>0</v>
      </c>
      <c r="AH16" s="128" t="n">
        <v>0</v>
      </c>
      <c r="AI16" s="128" t="n">
        <v>0</v>
      </c>
      <c r="AJ16" s="128" t="n">
        <v>0</v>
      </c>
      <c r="AK16" s="128" t="n">
        <v>0</v>
      </c>
      <c r="AL16" s="128" t="n">
        <v>0</v>
      </c>
      <c r="AM16" s="128" t="n">
        <v>0</v>
      </c>
      <c r="AN16" s="128" t="n">
        <v>0</v>
      </c>
      <c r="AO16" s="128" t="n">
        <v>0</v>
      </c>
      <c r="AP16" s="128" t="n">
        <v>0</v>
      </c>
      <c r="AQ16" s="128" t="n">
        <v>0</v>
      </c>
      <c r="AS16" s="129">
        <f>IF(SUM('03_Colocation_Calc'!$T$16:$AC$16)&gt;0,1,0)</f>
        <v/>
      </c>
    </row>
    <row r="17" ht="16" customHeight="1">
      <c r="A17" s="126" t="inlineStr">
        <is>
          <t>fossology</t>
        </is>
      </c>
      <c r="B17" s="126" t="inlineStr">
        <is>
          <t>FOSSology / ScanCode (License Compliance)</t>
        </is>
      </c>
      <c r="C17" s="128" t="n">
        <v>0</v>
      </c>
      <c r="D17" s="128" t="n">
        <v>0</v>
      </c>
      <c r="E17" s="128" t="n">
        <v>0</v>
      </c>
      <c r="F17" s="128" t="n">
        <v>0</v>
      </c>
      <c r="G17" s="128" t="n">
        <v>0</v>
      </c>
      <c r="H17" s="128" t="n">
        <v>0</v>
      </c>
      <c r="I17" s="128" t="n">
        <v>0</v>
      </c>
      <c r="J17" s="127" t="n">
        <v>1</v>
      </c>
      <c r="K17" s="128" t="n">
        <v>0</v>
      </c>
      <c r="L17" s="128" t="n">
        <v>0</v>
      </c>
      <c r="M17" s="128" t="n">
        <v>0</v>
      </c>
      <c r="N17" s="128" t="n">
        <v>0</v>
      </c>
      <c r="O17" s="128" t="n">
        <v>0</v>
      </c>
      <c r="P17" s="128" t="n">
        <v>0</v>
      </c>
      <c r="Q17" s="128" t="n">
        <v>0</v>
      </c>
      <c r="R17" s="128" t="n">
        <v>0</v>
      </c>
      <c r="S17" s="128" t="n">
        <v>0</v>
      </c>
      <c r="T17" s="128" t="n">
        <v>0</v>
      </c>
      <c r="U17" s="128" t="n">
        <v>0</v>
      </c>
      <c r="V17" s="128" t="n">
        <v>0</v>
      </c>
      <c r="W17" s="128" t="n">
        <v>0</v>
      </c>
      <c r="X17" s="128" t="n">
        <v>0</v>
      </c>
      <c r="Y17" s="128" t="n">
        <v>0</v>
      </c>
      <c r="Z17" s="128" t="n">
        <v>0</v>
      </c>
      <c r="AA17" s="128" t="n">
        <v>0</v>
      </c>
      <c r="AB17" s="128" t="n">
        <v>0</v>
      </c>
      <c r="AC17" s="128" t="n">
        <v>0</v>
      </c>
      <c r="AD17" s="128" t="n">
        <v>0</v>
      </c>
      <c r="AE17" s="128" t="n">
        <v>0</v>
      </c>
      <c r="AF17" s="128" t="n">
        <v>0</v>
      </c>
      <c r="AG17" s="128" t="n">
        <v>0</v>
      </c>
      <c r="AH17" s="128" t="n">
        <v>0</v>
      </c>
      <c r="AI17" s="128" t="n">
        <v>0</v>
      </c>
      <c r="AJ17" s="128" t="n">
        <v>0</v>
      </c>
      <c r="AK17" s="128" t="n">
        <v>0</v>
      </c>
      <c r="AL17" s="128" t="n">
        <v>0</v>
      </c>
      <c r="AM17" s="128" t="n">
        <v>0</v>
      </c>
      <c r="AN17" s="128" t="n">
        <v>0</v>
      </c>
      <c r="AO17" s="128" t="n">
        <v>0</v>
      </c>
      <c r="AP17" s="128" t="n">
        <v>0</v>
      </c>
      <c r="AQ17" s="128" t="n">
        <v>0</v>
      </c>
      <c r="AS17" s="129">
        <f>IF(SUM('03_Colocation_Calc'!$T$17:$AC$17)&gt;0,1,0)</f>
        <v/>
      </c>
    </row>
    <row r="18" ht="16" customHeight="1">
      <c r="A18" s="126" t="inlineStr">
        <is>
          <t>linters</t>
        </is>
      </c>
      <c r="B18" s="126" t="inlineStr">
        <is>
          <t>Linters (ESLint / Pylint / golangci-lint / RuboCop)</t>
        </is>
      </c>
      <c r="C18" s="128" t="n">
        <v>0</v>
      </c>
      <c r="D18" s="128" t="n">
        <v>0</v>
      </c>
      <c r="E18" s="128" t="n">
        <v>0</v>
      </c>
      <c r="F18" s="128" t="n">
        <v>0</v>
      </c>
      <c r="G18" s="128" t="n">
        <v>0</v>
      </c>
      <c r="H18" s="128" t="n">
        <v>0</v>
      </c>
      <c r="I18" s="128" t="n">
        <v>0</v>
      </c>
      <c r="J18" s="128" t="n">
        <v>0</v>
      </c>
      <c r="K18" s="127" t="n">
        <v>1</v>
      </c>
      <c r="L18" s="128" t="n">
        <v>0</v>
      </c>
      <c r="M18" s="128" t="n">
        <v>0</v>
      </c>
      <c r="N18" s="128" t="n">
        <v>0</v>
      </c>
      <c r="O18" s="128" t="n">
        <v>0</v>
      </c>
      <c r="P18" s="128" t="n">
        <v>0</v>
      </c>
      <c r="Q18" s="128" t="n">
        <v>0</v>
      </c>
      <c r="R18" s="128" t="n">
        <v>0</v>
      </c>
      <c r="S18" s="128" t="n">
        <v>0</v>
      </c>
      <c r="T18" s="128" t="n">
        <v>0</v>
      </c>
      <c r="U18" s="128" t="n">
        <v>0</v>
      </c>
      <c r="V18" s="128" t="n">
        <v>0</v>
      </c>
      <c r="W18" s="128" t="n">
        <v>0</v>
      </c>
      <c r="X18" s="128" t="n">
        <v>0</v>
      </c>
      <c r="Y18" s="128" t="n">
        <v>0</v>
      </c>
      <c r="Z18" s="128" t="n">
        <v>0</v>
      </c>
      <c r="AA18" s="128" t="n">
        <v>0</v>
      </c>
      <c r="AB18" s="128" t="n">
        <v>0</v>
      </c>
      <c r="AC18" s="128" t="n">
        <v>0</v>
      </c>
      <c r="AD18" s="128" t="n">
        <v>0</v>
      </c>
      <c r="AE18" s="128" t="n">
        <v>0</v>
      </c>
      <c r="AF18" s="128" t="n">
        <v>0</v>
      </c>
      <c r="AG18" s="128" t="n">
        <v>0</v>
      </c>
      <c r="AH18" s="128" t="n">
        <v>0</v>
      </c>
      <c r="AI18" s="128" t="n">
        <v>0</v>
      </c>
      <c r="AJ18" s="128" t="n">
        <v>0</v>
      </c>
      <c r="AK18" s="128" t="n">
        <v>0</v>
      </c>
      <c r="AL18" s="128" t="n">
        <v>0</v>
      </c>
      <c r="AM18" s="128" t="n">
        <v>0</v>
      </c>
      <c r="AN18" s="128" t="n">
        <v>0</v>
      </c>
      <c r="AO18" s="128" t="n">
        <v>0</v>
      </c>
      <c r="AP18" s="128" t="n">
        <v>0</v>
      </c>
      <c r="AQ18" s="128" t="n">
        <v>0</v>
      </c>
      <c r="AS18" s="129">
        <f>IF(SUM('03_Colocation_Calc'!$T$18:$AC$18)&gt;0,1,0)</f>
        <v/>
      </c>
    </row>
    <row r="19" ht="16" customHeight="1">
      <c r="A19" s="126" t="inlineStr">
        <is>
          <t>maven-gradle</t>
        </is>
      </c>
      <c r="B19" s="126" t="inlineStr">
        <is>
          <t>Maven / Gradle / npm / pip (Build &amp; Compilation)</t>
        </is>
      </c>
      <c r="C19" s="128" t="n">
        <v>0</v>
      </c>
      <c r="D19" s="128" t="n">
        <v>0</v>
      </c>
      <c r="E19" s="128" t="n">
        <v>0</v>
      </c>
      <c r="F19" s="128" t="n">
        <v>0</v>
      </c>
      <c r="G19" s="128" t="n">
        <v>0</v>
      </c>
      <c r="H19" s="128" t="n">
        <v>0</v>
      </c>
      <c r="I19" s="128" t="n">
        <v>0</v>
      </c>
      <c r="J19" s="128" t="n">
        <v>0</v>
      </c>
      <c r="K19" s="128" t="n">
        <v>0</v>
      </c>
      <c r="L19" s="127" t="n">
        <v>1</v>
      </c>
      <c r="M19" s="128" t="n">
        <v>0</v>
      </c>
      <c r="N19" s="128" t="n">
        <v>0</v>
      </c>
      <c r="O19" s="128" t="n">
        <v>0</v>
      </c>
      <c r="P19" s="128" t="n">
        <v>0</v>
      </c>
      <c r="Q19" s="128" t="n">
        <v>0</v>
      </c>
      <c r="R19" s="128" t="n">
        <v>0</v>
      </c>
      <c r="S19" s="128" t="n">
        <v>0</v>
      </c>
      <c r="T19" s="128" t="n">
        <v>0</v>
      </c>
      <c r="U19" s="128" t="n">
        <v>0</v>
      </c>
      <c r="V19" s="128" t="n">
        <v>0</v>
      </c>
      <c r="W19" s="128" t="n">
        <v>0</v>
      </c>
      <c r="X19" s="128" t="n">
        <v>0</v>
      </c>
      <c r="Y19" s="128" t="n">
        <v>0</v>
      </c>
      <c r="Z19" s="128" t="n">
        <v>0</v>
      </c>
      <c r="AA19" s="128" t="n">
        <v>0</v>
      </c>
      <c r="AB19" s="128" t="n">
        <v>0</v>
      </c>
      <c r="AC19" s="128" t="n">
        <v>0</v>
      </c>
      <c r="AD19" s="128" t="n">
        <v>0</v>
      </c>
      <c r="AE19" s="128" t="n">
        <v>0</v>
      </c>
      <c r="AF19" s="128" t="n">
        <v>0</v>
      </c>
      <c r="AG19" s="128" t="n">
        <v>0</v>
      </c>
      <c r="AH19" s="128" t="n">
        <v>0</v>
      </c>
      <c r="AI19" s="128" t="n">
        <v>0</v>
      </c>
      <c r="AJ19" s="128" t="n">
        <v>0</v>
      </c>
      <c r="AK19" s="128" t="n">
        <v>0</v>
      </c>
      <c r="AL19" s="128" t="n">
        <v>0</v>
      </c>
      <c r="AM19" s="128" t="n">
        <v>0</v>
      </c>
      <c r="AN19" s="128" t="n">
        <v>0</v>
      </c>
      <c r="AO19" s="128" t="n">
        <v>0</v>
      </c>
      <c r="AP19" s="128" t="n">
        <v>0</v>
      </c>
      <c r="AQ19" s="128" t="n">
        <v>0</v>
      </c>
      <c r="AS19" s="129">
        <f>IF(SUM('03_Colocation_Calc'!$T$19:$AC$19)&gt;0,1,0)</f>
        <v/>
      </c>
    </row>
    <row r="20" ht="16" customHeight="1">
      <c r="A20" s="126" t="inlineStr">
        <is>
          <t>docker-buildkit</t>
        </is>
      </c>
      <c r="B20" s="126" t="inlineStr">
        <is>
          <t>Docker Engine / BuildKit (Container Image Builder)</t>
        </is>
      </c>
      <c r="C20" s="128" t="n">
        <v>0</v>
      </c>
      <c r="D20" s="128" t="n">
        <v>0</v>
      </c>
      <c r="E20" s="128" t="n">
        <v>0</v>
      </c>
      <c r="F20" s="128" t="n">
        <v>0</v>
      </c>
      <c r="G20" s="128" t="n">
        <v>0</v>
      </c>
      <c r="H20" s="128" t="n">
        <v>0</v>
      </c>
      <c r="I20" s="128" t="n">
        <v>0</v>
      </c>
      <c r="J20" s="128" t="n">
        <v>0</v>
      </c>
      <c r="K20" s="128" t="n">
        <v>0</v>
      </c>
      <c r="L20" s="127" t="n">
        <v>1</v>
      </c>
      <c r="M20" s="127" t="n">
        <v>1</v>
      </c>
      <c r="N20" s="128" t="n">
        <v>0</v>
      </c>
      <c r="O20" s="128" t="n">
        <v>0</v>
      </c>
      <c r="P20" s="128" t="n">
        <v>0</v>
      </c>
      <c r="Q20" s="128" t="n">
        <v>0</v>
      </c>
      <c r="R20" s="128" t="n">
        <v>0</v>
      </c>
      <c r="S20" s="128" t="n">
        <v>0</v>
      </c>
      <c r="T20" s="128" t="n">
        <v>0</v>
      </c>
      <c r="U20" s="128" t="n">
        <v>0</v>
      </c>
      <c r="V20" s="128" t="n">
        <v>0</v>
      </c>
      <c r="W20" s="128" t="n">
        <v>0</v>
      </c>
      <c r="X20" s="128" t="n">
        <v>0</v>
      </c>
      <c r="Y20" s="128" t="n">
        <v>0</v>
      </c>
      <c r="Z20" s="128" t="n">
        <v>0</v>
      </c>
      <c r="AA20" s="128" t="n">
        <v>0</v>
      </c>
      <c r="AB20" s="128" t="n">
        <v>0</v>
      </c>
      <c r="AC20" s="128" t="n">
        <v>0</v>
      </c>
      <c r="AD20" s="128" t="n">
        <v>0</v>
      </c>
      <c r="AE20" s="128" t="n">
        <v>0</v>
      </c>
      <c r="AF20" s="128" t="n">
        <v>0</v>
      </c>
      <c r="AG20" s="128" t="n">
        <v>0</v>
      </c>
      <c r="AH20" s="128" t="n">
        <v>0</v>
      </c>
      <c r="AI20" s="128" t="n">
        <v>0</v>
      </c>
      <c r="AJ20" s="128" t="n">
        <v>0</v>
      </c>
      <c r="AK20" s="128" t="n">
        <v>0</v>
      </c>
      <c r="AL20" s="128" t="n">
        <v>0</v>
      </c>
      <c r="AM20" s="128" t="n">
        <v>0</v>
      </c>
      <c r="AN20" s="128" t="n">
        <v>0</v>
      </c>
      <c r="AO20" s="128" t="n">
        <v>0</v>
      </c>
      <c r="AP20" s="128" t="n">
        <v>0</v>
      </c>
      <c r="AQ20" s="128" t="n">
        <v>0</v>
      </c>
      <c r="AS20" s="129">
        <f>IF(SUM('03_Colocation_Calc'!$T$20:$AC$20)&gt;0,1,0)</f>
        <v/>
      </c>
    </row>
    <row r="21" ht="16" customHeight="1">
      <c r="A21" s="126" t="inlineStr">
        <is>
          <t>checkov</t>
        </is>
      </c>
      <c r="B21" s="126" t="inlineStr">
        <is>
          <t>Checkov / tfsec / KubeLinter (IaC Validation)</t>
        </is>
      </c>
      <c r="C21" s="128" t="n">
        <v>0</v>
      </c>
      <c r="D21" s="128" t="n">
        <v>0</v>
      </c>
      <c r="E21" s="128" t="n">
        <v>0</v>
      </c>
      <c r="F21" s="128" t="n">
        <v>0</v>
      </c>
      <c r="G21" s="128" t="n">
        <v>0</v>
      </c>
      <c r="H21" s="128" t="n">
        <v>0</v>
      </c>
      <c r="I21" s="128" t="n">
        <v>0</v>
      </c>
      <c r="J21" s="128" t="n">
        <v>0</v>
      </c>
      <c r="K21" s="128" t="n">
        <v>0</v>
      </c>
      <c r="L21" s="128" t="n">
        <v>0</v>
      </c>
      <c r="M21" s="128" t="n">
        <v>0</v>
      </c>
      <c r="N21" s="128" t="n">
        <v>0</v>
      </c>
      <c r="O21" s="127" t="n">
        <v>1</v>
      </c>
      <c r="P21" s="128" t="n">
        <v>0</v>
      </c>
      <c r="Q21" s="128" t="n">
        <v>0</v>
      </c>
      <c r="R21" s="128" t="n">
        <v>0</v>
      </c>
      <c r="S21" s="128" t="n">
        <v>0</v>
      </c>
      <c r="T21" s="128" t="n">
        <v>0</v>
      </c>
      <c r="U21" s="128" t="n">
        <v>0</v>
      </c>
      <c r="V21" s="128" t="n">
        <v>0</v>
      </c>
      <c r="W21" s="128" t="n">
        <v>0</v>
      </c>
      <c r="X21" s="128" t="n">
        <v>0</v>
      </c>
      <c r="Y21" s="128" t="n">
        <v>0</v>
      </c>
      <c r="Z21" s="128" t="n">
        <v>0</v>
      </c>
      <c r="AA21" s="128" t="n">
        <v>0</v>
      </c>
      <c r="AB21" s="128" t="n">
        <v>0</v>
      </c>
      <c r="AC21" s="128" t="n">
        <v>0</v>
      </c>
      <c r="AD21" s="128" t="n">
        <v>0</v>
      </c>
      <c r="AE21" s="128" t="n">
        <v>0</v>
      </c>
      <c r="AF21" s="128" t="n">
        <v>0</v>
      </c>
      <c r="AG21" s="128" t="n">
        <v>0</v>
      </c>
      <c r="AH21" s="128" t="n">
        <v>0</v>
      </c>
      <c r="AI21" s="128" t="n">
        <v>0</v>
      </c>
      <c r="AJ21" s="128" t="n">
        <v>0</v>
      </c>
      <c r="AK21" s="128" t="n">
        <v>0</v>
      </c>
      <c r="AL21" s="128" t="n">
        <v>0</v>
      </c>
      <c r="AM21" s="128" t="n">
        <v>0</v>
      </c>
      <c r="AN21" s="128" t="n">
        <v>0</v>
      </c>
      <c r="AO21" s="128" t="n">
        <v>0</v>
      </c>
      <c r="AP21" s="128" t="n">
        <v>0</v>
      </c>
      <c r="AQ21" s="128" t="n">
        <v>0</v>
      </c>
      <c r="AS21" s="129">
        <f>IF(SUM('03_Colocation_Calc'!$T$21:$AC$21)&gt;0,1,0)</f>
        <v/>
      </c>
    </row>
    <row r="22" ht="16" customHeight="1">
      <c r="A22" s="126" t="inlineStr">
        <is>
          <t>cosign</t>
        </is>
      </c>
      <c r="B22" s="126" t="inlineStr">
        <is>
          <t>Sigstore Cosign / Notary v2 (Artifact Signing)</t>
        </is>
      </c>
      <c r="C22" s="128" t="n">
        <v>0</v>
      </c>
      <c r="D22" s="128" t="n">
        <v>0</v>
      </c>
      <c r="E22" s="128" t="n">
        <v>0</v>
      </c>
      <c r="F22" s="128" t="n">
        <v>0</v>
      </c>
      <c r="G22" s="128" t="n">
        <v>0</v>
      </c>
      <c r="H22" s="128" t="n">
        <v>0</v>
      </c>
      <c r="I22" s="128" t="n">
        <v>0</v>
      </c>
      <c r="J22" s="128" t="n">
        <v>0</v>
      </c>
      <c r="K22" s="128" t="n">
        <v>0</v>
      </c>
      <c r="L22" s="128" t="n">
        <v>0</v>
      </c>
      <c r="M22" s="128" t="n">
        <v>0</v>
      </c>
      <c r="N22" s="128" t="n">
        <v>0</v>
      </c>
      <c r="O22" s="128" t="n">
        <v>0</v>
      </c>
      <c r="P22" s="127" t="n">
        <v>1</v>
      </c>
      <c r="Q22" s="128" t="n">
        <v>0</v>
      </c>
      <c r="R22" s="128" t="n">
        <v>0</v>
      </c>
      <c r="S22" s="128" t="n">
        <v>0</v>
      </c>
      <c r="T22" s="128" t="n">
        <v>0</v>
      </c>
      <c r="U22" s="128" t="n">
        <v>0</v>
      </c>
      <c r="V22" s="128" t="n">
        <v>0</v>
      </c>
      <c r="W22" s="128" t="n">
        <v>0</v>
      </c>
      <c r="X22" s="128" t="n">
        <v>0</v>
      </c>
      <c r="Y22" s="128" t="n">
        <v>0</v>
      </c>
      <c r="Z22" s="128" t="n">
        <v>0</v>
      </c>
      <c r="AA22" s="128" t="n">
        <v>0</v>
      </c>
      <c r="AB22" s="128" t="n">
        <v>0</v>
      </c>
      <c r="AC22" s="128" t="n">
        <v>0</v>
      </c>
      <c r="AD22" s="128" t="n">
        <v>0</v>
      </c>
      <c r="AE22" s="128" t="n">
        <v>0</v>
      </c>
      <c r="AF22" s="128" t="n">
        <v>0</v>
      </c>
      <c r="AG22" s="128" t="n">
        <v>0</v>
      </c>
      <c r="AH22" s="128" t="n">
        <v>0</v>
      </c>
      <c r="AI22" s="128" t="n">
        <v>0</v>
      </c>
      <c r="AJ22" s="128" t="n">
        <v>0</v>
      </c>
      <c r="AK22" s="128" t="n">
        <v>0</v>
      </c>
      <c r="AL22" s="128" t="n">
        <v>0</v>
      </c>
      <c r="AM22" s="128" t="n">
        <v>0</v>
      </c>
      <c r="AN22" s="128" t="n">
        <v>0</v>
      </c>
      <c r="AO22" s="128" t="n">
        <v>0</v>
      </c>
      <c r="AP22" s="128" t="n">
        <v>0</v>
      </c>
      <c r="AQ22" s="128" t="n">
        <v>0</v>
      </c>
      <c r="AS22" s="129">
        <f>IF(SUM('03_Colocation_Calc'!$T$22:$AC$22)&gt;0,1,0)</f>
        <v/>
      </c>
    </row>
    <row r="23" ht="16" customHeight="1">
      <c r="A23" s="126" t="inlineStr">
        <is>
          <t>syft</t>
        </is>
      </c>
      <c r="B23" s="126" t="inlineStr">
        <is>
          <t>Syft / CycloneDX CLI (SBOM Generation)</t>
        </is>
      </c>
      <c r="C23" s="128" t="n">
        <v>0</v>
      </c>
      <c r="D23" s="128" t="n">
        <v>0</v>
      </c>
      <c r="E23" s="128" t="n">
        <v>0</v>
      </c>
      <c r="F23" s="128" t="n">
        <v>0</v>
      </c>
      <c r="G23" s="128" t="n">
        <v>0</v>
      </c>
      <c r="H23" s="128" t="n">
        <v>0</v>
      </c>
      <c r="I23" s="128" t="n">
        <v>0</v>
      </c>
      <c r="J23" s="128" t="n">
        <v>0</v>
      </c>
      <c r="K23" s="128" t="n">
        <v>0</v>
      </c>
      <c r="L23" s="128" t="n">
        <v>0</v>
      </c>
      <c r="M23" s="128" t="n">
        <v>0</v>
      </c>
      <c r="N23" s="128" t="n">
        <v>0</v>
      </c>
      <c r="O23" s="128" t="n">
        <v>0</v>
      </c>
      <c r="P23" s="128" t="n">
        <v>0</v>
      </c>
      <c r="Q23" s="128" t="n">
        <v>0</v>
      </c>
      <c r="R23" s="128" t="n">
        <v>0</v>
      </c>
      <c r="S23" s="128" t="n">
        <v>0</v>
      </c>
      <c r="T23" s="128" t="n">
        <v>0</v>
      </c>
      <c r="U23" s="128" t="n">
        <v>0</v>
      </c>
      <c r="V23" s="128" t="n">
        <v>0</v>
      </c>
      <c r="W23" s="128" t="n">
        <v>0</v>
      </c>
      <c r="X23" s="127" t="n">
        <v>1</v>
      </c>
      <c r="Y23" s="128" t="n">
        <v>0</v>
      </c>
      <c r="Z23" s="128" t="n">
        <v>0</v>
      </c>
      <c r="AA23" s="128" t="n">
        <v>0</v>
      </c>
      <c r="AB23" s="128" t="n">
        <v>0</v>
      </c>
      <c r="AC23" s="128" t="n">
        <v>0</v>
      </c>
      <c r="AD23" s="128" t="n">
        <v>0</v>
      </c>
      <c r="AE23" s="128" t="n">
        <v>0</v>
      </c>
      <c r="AF23" s="128" t="n">
        <v>0</v>
      </c>
      <c r="AG23" s="128" t="n">
        <v>0</v>
      </c>
      <c r="AH23" s="128" t="n">
        <v>0</v>
      </c>
      <c r="AI23" s="128" t="n">
        <v>0</v>
      </c>
      <c r="AJ23" s="128" t="n">
        <v>0</v>
      </c>
      <c r="AK23" s="128" t="n">
        <v>0</v>
      </c>
      <c r="AL23" s="128" t="n">
        <v>0</v>
      </c>
      <c r="AM23" s="128" t="n">
        <v>0</v>
      </c>
      <c r="AN23" s="128" t="n">
        <v>0</v>
      </c>
      <c r="AO23" s="128" t="n">
        <v>0</v>
      </c>
      <c r="AP23" s="128" t="n">
        <v>0</v>
      </c>
      <c r="AQ23" s="128" t="n">
        <v>0</v>
      </c>
      <c r="AS23" s="129">
        <f>IF(SUM('03_Colocation_Calc'!$T$23:$AC$23)&gt;0,1,0)</f>
        <v/>
      </c>
    </row>
    <row r="24" ht="16" customHeight="1">
      <c r="A24" s="126" t="inlineStr">
        <is>
          <t>unit-test-runner</t>
        </is>
      </c>
      <c r="B24" s="126" t="inlineStr">
        <is>
          <t>pytest / Jest / JUnit / Go test (Unit Test)</t>
        </is>
      </c>
      <c r="C24" s="128" t="n">
        <v>0</v>
      </c>
      <c r="D24" s="128" t="n">
        <v>0</v>
      </c>
      <c r="E24" s="128" t="n">
        <v>0</v>
      </c>
      <c r="F24" s="128" t="n">
        <v>0</v>
      </c>
      <c r="G24" s="128" t="n">
        <v>0</v>
      </c>
      <c r="H24" s="128" t="n">
        <v>0</v>
      </c>
      <c r="I24" s="128" t="n">
        <v>0</v>
      </c>
      <c r="J24" s="128" t="n">
        <v>0</v>
      </c>
      <c r="K24" s="127" t="n">
        <v>1</v>
      </c>
      <c r="L24" s="128" t="n">
        <v>0</v>
      </c>
      <c r="M24" s="128" t="n">
        <v>0</v>
      </c>
      <c r="N24" s="128" t="n">
        <v>0</v>
      </c>
      <c r="O24" s="128" t="n">
        <v>0</v>
      </c>
      <c r="P24" s="128" t="n">
        <v>0</v>
      </c>
      <c r="Q24" s="127" t="n">
        <v>1</v>
      </c>
      <c r="R24" s="128" t="n">
        <v>0</v>
      </c>
      <c r="S24" s="128" t="n">
        <v>0</v>
      </c>
      <c r="T24" s="128" t="n">
        <v>0</v>
      </c>
      <c r="U24" s="128" t="n">
        <v>0</v>
      </c>
      <c r="V24" s="128" t="n">
        <v>0</v>
      </c>
      <c r="W24" s="128" t="n">
        <v>0</v>
      </c>
      <c r="X24" s="128" t="n">
        <v>0</v>
      </c>
      <c r="Y24" s="128" t="n">
        <v>0</v>
      </c>
      <c r="Z24" s="128" t="n">
        <v>0</v>
      </c>
      <c r="AA24" s="128" t="n">
        <v>0</v>
      </c>
      <c r="AB24" s="128" t="n">
        <v>0</v>
      </c>
      <c r="AC24" s="128" t="n">
        <v>0</v>
      </c>
      <c r="AD24" s="128" t="n">
        <v>0</v>
      </c>
      <c r="AE24" s="128" t="n">
        <v>0</v>
      </c>
      <c r="AF24" s="128" t="n">
        <v>0</v>
      </c>
      <c r="AG24" s="128" t="n">
        <v>0</v>
      </c>
      <c r="AH24" s="128" t="n">
        <v>0</v>
      </c>
      <c r="AI24" s="128" t="n">
        <v>0</v>
      </c>
      <c r="AJ24" s="128" t="n">
        <v>0</v>
      </c>
      <c r="AK24" s="128" t="n">
        <v>0</v>
      </c>
      <c r="AL24" s="128" t="n">
        <v>0</v>
      </c>
      <c r="AM24" s="128" t="n">
        <v>0</v>
      </c>
      <c r="AN24" s="128" t="n">
        <v>0</v>
      </c>
      <c r="AO24" s="128" t="n">
        <v>0</v>
      </c>
      <c r="AP24" s="128" t="n">
        <v>0</v>
      </c>
      <c r="AQ24" s="128" t="n">
        <v>0</v>
      </c>
      <c r="AS24" s="129">
        <f>IF(SUM('03_Colocation_Calc'!$T$24:$AC$24)&gt;0,1,0)</f>
        <v/>
      </c>
    </row>
    <row r="25" ht="16" customHeight="1">
      <c r="A25" s="126" t="inlineStr">
        <is>
          <t>testcontainers</t>
        </is>
      </c>
      <c r="B25" s="126" t="inlineStr">
        <is>
          <t>Testcontainers / WireMock / Pact (Integration Test)</t>
        </is>
      </c>
      <c r="C25" s="128" t="n">
        <v>0</v>
      </c>
      <c r="D25" s="128" t="n">
        <v>0</v>
      </c>
      <c r="E25" s="128" t="n">
        <v>0</v>
      </c>
      <c r="F25" s="128" t="n">
        <v>0</v>
      </c>
      <c r="G25" s="128" t="n">
        <v>0</v>
      </c>
      <c r="H25" s="128" t="n">
        <v>0</v>
      </c>
      <c r="I25" s="128" t="n">
        <v>0</v>
      </c>
      <c r="J25" s="128" t="n">
        <v>0</v>
      </c>
      <c r="K25" s="128" t="n">
        <v>0</v>
      </c>
      <c r="L25" s="128" t="n">
        <v>0</v>
      </c>
      <c r="M25" s="128" t="n">
        <v>0</v>
      </c>
      <c r="N25" s="128" t="n">
        <v>0</v>
      </c>
      <c r="O25" s="128" t="n">
        <v>0</v>
      </c>
      <c r="P25" s="128" t="n">
        <v>0</v>
      </c>
      <c r="Q25" s="128" t="n">
        <v>0</v>
      </c>
      <c r="R25" s="127" t="n">
        <v>1</v>
      </c>
      <c r="S25" s="128" t="n">
        <v>0</v>
      </c>
      <c r="T25" s="128" t="n">
        <v>0</v>
      </c>
      <c r="U25" s="128" t="n">
        <v>0</v>
      </c>
      <c r="V25" s="128" t="n">
        <v>0</v>
      </c>
      <c r="W25" s="128" t="n">
        <v>0</v>
      </c>
      <c r="X25" s="128" t="n">
        <v>0</v>
      </c>
      <c r="Y25" s="128" t="n">
        <v>0</v>
      </c>
      <c r="Z25" s="128" t="n">
        <v>0</v>
      </c>
      <c r="AA25" s="128" t="n">
        <v>0</v>
      </c>
      <c r="AB25" s="128" t="n">
        <v>0</v>
      </c>
      <c r="AC25" s="128" t="n">
        <v>0</v>
      </c>
      <c r="AD25" s="128" t="n">
        <v>0</v>
      </c>
      <c r="AE25" s="128" t="n">
        <v>0</v>
      </c>
      <c r="AF25" s="128" t="n">
        <v>0</v>
      </c>
      <c r="AG25" s="128" t="n">
        <v>0</v>
      </c>
      <c r="AH25" s="128" t="n">
        <v>0</v>
      </c>
      <c r="AI25" s="128" t="n">
        <v>0</v>
      </c>
      <c r="AJ25" s="128" t="n">
        <v>0</v>
      </c>
      <c r="AK25" s="128" t="n">
        <v>0</v>
      </c>
      <c r="AL25" s="128" t="n">
        <v>0</v>
      </c>
      <c r="AM25" s="128" t="n">
        <v>0</v>
      </c>
      <c r="AN25" s="128" t="n">
        <v>0</v>
      </c>
      <c r="AO25" s="128" t="n">
        <v>0</v>
      </c>
      <c r="AP25" s="128" t="n">
        <v>0</v>
      </c>
      <c r="AQ25" s="128" t="n">
        <v>0</v>
      </c>
      <c r="AS25" s="129">
        <f>IF(SUM('03_Colocation_Calc'!$T$25:$AC$25)&gt;0,1,0)</f>
        <v/>
      </c>
    </row>
    <row r="26" ht="16" customHeight="1">
      <c r="A26" s="126" t="inlineStr">
        <is>
          <t>owasp-zap</t>
        </is>
      </c>
      <c r="B26" s="126" t="inlineStr">
        <is>
          <t>OWASP ZAP (DAST + API Security)</t>
        </is>
      </c>
      <c r="C26" s="128" t="n">
        <v>0</v>
      </c>
      <c r="D26" s="128" t="n">
        <v>0</v>
      </c>
      <c r="E26" s="128" t="n">
        <v>0</v>
      </c>
      <c r="F26" s="128" t="n">
        <v>0</v>
      </c>
      <c r="G26" s="128" t="n">
        <v>0</v>
      </c>
      <c r="H26" s="128" t="n">
        <v>0</v>
      </c>
      <c r="I26" s="128" t="n">
        <v>0</v>
      </c>
      <c r="J26" s="128" t="n">
        <v>0</v>
      </c>
      <c r="K26" s="128" t="n">
        <v>0</v>
      </c>
      <c r="L26" s="128" t="n">
        <v>0</v>
      </c>
      <c r="M26" s="128" t="n">
        <v>0</v>
      </c>
      <c r="N26" s="128" t="n">
        <v>0</v>
      </c>
      <c r="O26" s="128" t="n">
        <v>0</v>
      </c>
      <c r="P26" s="128" t="n">
        <v>0</v>
      </c>
      <c r="Q26" s="128" t="n">
        <v>0</v>
      </c>
      <c r="R26" s="128" t="n">
        <v>0</v>
      </c>
      <c r="S26" s="127" t="n">
        <v>1</v>
      </c>
      <c r="T26" s="127" t="n">
        <v>1</v>
      </c>
      <c r="U26" s="128" t="n">
        <v>0</v>
      </c>
      <c r="V26" s="128" t="n">
        <v>0</v>
      </c>
      <c r="W26" s="128" t="n">
        <v>0</v>
      </c>
      <c r="X26" s="128" t="n">
        <v>0</v>
      </c>
      <c r="Y26" s="128" t="n">
        <v>0</v>
      </c>
      <c r="Z26" s="128" t="n">
        <v>0</v>
      </c>
      <c r="AA26" s="128" t="n">
        <v>0</v>
      </c>
      <c r="AB26" s="128" t="n">
        <v>0</v>
      </c>
      <c r="AC26" s="128" t="n">
        <v>0</v>
      </c>
      <c r="AD26" s="128" t="n">
        <v>0</v>
      </c>
      <c r="AE26" s="128" t="n">
        <v>0</v>
      </c>
      <c r="AF26" s="128" t="n">
        <v>0</v>
      </c>
      <c r="AG26" s="128" t="n">
        <v>0</v>
      </c>
      <c r="AH26" s="128" t="n">
        <v>0</v>
      </c>
      <c r="AI26" s="128" t="n">
        <v>0</v>
      </c>
      <c r="AJ26" s="128" t="n">
        <v>0</v>
      </c>
      <c r="AK26" s="128" t="n">
        <v>0</v>
      </c>
      <c r="AL26" s="128" t="n">
        <v>0</v>
      </c>
      <c r="AM26" s="128" t="n">
        <v>0</v>
      </c>
      <c r="AN26" s="128" t="n">
        <v>0</v>
      </c>
      <c r="AO26" s="128" t="n">
        <v>0</v>
      </c>
      <c r="AP26" s="127" t="n">
        <v>1</v>
      </c>
      <c r="AQ26" s="128" t="n">
        <v>0</v>
      </c>
      <c r="AS26" s="129">
        <f>IF(SUM('03_Colocation_Calc'!$T$26:$AC$26)&gt;0,1,0)</f>
        <v/>
      </c>
    </row>
    <row r="27" ht="16" customHeight="1">
      <c r="A27" s="126" t="inlineStr">
        <is>
          <t>nuclei</t>
        </is>
      </c>
      <c r="B27" s="126" t="inlineStr">
        <is>
          <t>Nuclei (Template-based Vulnerability Scan)</t>
        </is>
      </c>
      <c r="C27" s="128" t="n">
        <v>0</v>
      </c>
      <c r="D27" s="128" t="n">
        <v>0</v>
      </c>
      <c r="E27" s="128" t="n">
        <v>0</v>
      </c>
      <c r="F27" s="128" t="n">
        <v>0</v>
      </c>
      <c r="G27" s="128" t="n">
        <v>0</v>
      </c>
      <c r="H27" s="128" t="n">
        <v>0</v>
      </c>
      <c r="I27" s="128" t="n">
        <v>0</v>
      </c>
      <c r="J27" s="128" t="n">
        <v>0</v>
      </c>
      <c r="K27" s="128" t="n">
        <v>0</v>
      </c>
      <c r="L27" s="128" t="n">
        <v>0</v>
      </c>
      <c r="M27" s="128" t="n">
        <v>0</v>
      </c>
      <c r="N27" s="128" t="n">
        <v>0</v>
      </c>
      <c r="O27" s="128" t="n">
        <v>0</v>
      </c>
      <c r="P27" s="128" t="n">
        <v>0</v>
      </c>
      <c r="Q27" s="128" t="n">
        <v>0</v>
      </c>
      <c r="R27" s="128" t="n">
        <v>0</v>
      </c>
      <c r="S27" s="127" t="n">
        <v>1</v>
      </c>
      <c r="T27" s="127" t="n">
        <v>1</v>
      </c>
      <c r="U27" s="128" t="n">
        <v>0</v>
      </c>
      <c r="V27" s="128" t="n">
        <v>0</v>
      </c>
      <c r="W27" s="128" t="n">
        <v>0</v>
      </c>
      <c r="X27" s="128" t="n">
        <v>0</v>
      </c>
      <c r="Y27" s="128" t="n">
        <v>0</v>
      </c>
      <c r="Z27" s="128" t="n">
        <v>0</v>
      </c>
      <c r="AA27" s="128" t="n">
        <v>0</v>
      </c>
      <c r="AB27" s="128" t="n">
        <v>0</v>
      </c>
      <c r="AC27" s="128" t="n">
        <v>0</v>
      </c>
      <c r="AD27" s="128" t="n">
        <v>0</v>
      </c>
      <c r="AE27" s="128" t="n">
        <v>0</v>
      </c>
      <c r="AF27" s="128" t="n">
        <v>0</v>
      </c>
      <c r="AG27" s="128" t="n">
        <v>0</v>
      </c>
      <c r="AH27" s="128" t="n">
        <v>0</v>
      </c>
      <c r="AI27" s="128" t="n">
        <v>0</v>
      </c>
      <c r="AJ27" s="127" t="n">
        <v>1</v>
      </c>
      <c r="AK27" s="128" t="n">
        <v>0</v>
      </c>
      <c r="AL27" s="128" t="n">
        <v>0</v>
      </c>
      <c r="AM27" s="128" t="n">
        <v>0</v>
      </c>
      <c r="AN27" s="128" t="n">
        <v>0</v>
      </c>
      <c r="AO27" s="128" t="n">
        <v>0</v>
      </c>
      <c r="AP27" s="127" t="n">
        <v>1</v>
      </c>
      <c r="AQ27" s="128" t="n">
        <v>0</v>
      </c>
      <c r="AS27" s="129">
        <f>IF(SUM('03_Colocation_Calc'!$T$27:$AC$27)&gt;0,1,0)</f>
        <v/>
      </c>
    </row>
    <row r="28" ht="16" customHeight="1">
      <c r="A28" s="126" t="inlineStr">
        <is>
          <t>locust</t>
        </is>
      </c>
      <c r="B28" s="126" t="inlineStr">
        <is>
          <t>Locust (Performance / Load Test)</t>
        </is>
      </c>
      <c r="C28" s="128" t="n">
        <v>0</v>
      </c>
      <c r="D28" s="128" t="n">
        <v>0</v>
      </c>
      <c r="E28" s="128" t="n">
        <v>0</v>
      </c>
      <c r="F28" s="128" t="n">
        <v>0</v>
      </c>
      <c r="G28" s="128" t="n">
        <v>0</v>
      </c>
      <c r="H28" s="128" t="n">
        <v>0</v>
      </c>
      <c r="I28" s="128" t="n">
        <v>0</v>
      </c>
      <c r="J28" s="128" t="n">
        <v>0</v>
      </c>
      <c r="K28" s="128" t="n">
        <v>0</v>
      </c>
      <c r="L28" s="128" t="n">
        <v>0</v>
      </c>
      <c r="M28" s="128" t="n">
        <v>0</v>
      </c>
      <c r="N28" s="128" t="n">
        <v>0</v>
      </c>
      <c r="O28" s="128" t="n">
        <v>0</v>
      </c>
      <c r="P28" s="128" t="n">
        <v>0</v>
      </c>
      <c r="Q28" s="128" t="n">
        <v>0</v>
      </c>
      <c r="R28" s="128" t="n">
        <v>0</v>
      </c>
      <c r="S28" s="128" t="n">
        <v>0</v>
      </c>
      <c r="T28" s="128" t="n">
        <v>0</v>
      </c>
      <c r="U28" s="127" t="n">
        <v>1</v>
      </c>
      <c r="V28" s="128" t="n">
        <v>0</v>
      </c>
      <c r="W28" s="128" t="n">
        <v>0</v>
      </c>
      <c r="X28" s="128" t="n">
        <v>0</v>
      </c>
      <c r="Y28" s="128" t="n">
        <v>0</v>
      </c>
      <c r="Z28" s="128" t="n">
        <v>0</v>
      </c>
      <c r="AA28" s="128" t="n">
        <v>0</v>
      </c>
      <c r="AB28" s="128" t="n">
        <v>0</v>
      </c>
      <c r="AC28" s="128" t="n">
        <v>0</v>
      </c>
      <c r="AD28" s="128" t="n">
        <v>0</v>
      </c>
      <c r="AE28" s="128" t="n">
        <v>0</v>
      </c>
      <c r="AF28" s="128" t="n">
        <v>0</v>
      </c>
      <c r="AG28" s="128" t="n">
        <v>0</v>
      </c>
      <c r="AH28" s="128" t="n">
        <v>0</v>
      </c>
      <c r="AI28" s="128" t="n">
        <v>0</v>
      </c>
      <c r="AJ28" s="128" t="n">
        <v>0</v>
      </c>
      <c r="AK28" s="128" t="n">
        <v>0</v>
      </c>
      <c r="AL28" s="128" t="n">
        <v>0</v>
      </c>
      <c r="AM28" s="128" t="n">
        <v>0</v>
      </c>
      <c r="AN28" s="128" t="n">
        <v>0</v>
      </c>
      <c r="AO28" s="128" t="n">
        <v>0</v>
      </c>
      <c r="AP28" s="128" t="n">
        <v>0</v>
      </c>
      <c r="AQ28" s="128" t="n">
        <v>0</v>
      </c>
      <c r="AS28" s="129">
        <f>IF(SUM('03_Colocation_Calc'!$T$28:$AC$28)&gt;0,1,0)</f>
        <v/>
      </c>
    </row>
    <row r="29" ht="16" customHeight="1">
      <c r="A29" s="126" t="inlineStr">
        <is>
          <t>playwright-a11y</t>
        </is>
      </c>
      <c r="B29" s="126" t="inlineStr">
        <is>
          <t>Playwright + axe-core / pa11y-ci / Lighthouse CI (Accessibility)</t>
        </is>
      </c>
      <c r="C29" s="128" t="n">
        <v>0</v>
      </c>
      <c r="D29" s="128" t="n">
        <v>0</v>
      </c>
      <c r="E29" s="128" t="n">
        <v>0</v>
      </c>
      <c r="F29" s="128" t="n">
        <v>0</v>
      </c>
      <c r="G29" s="128" t="n">
        <v>0</v>
      </c>
      <c r="H29" s="128" t="n">
        <v>0</v>
      </c>
      <c r="I29" s="128" t="n">
        <v>0</v>
      </c>
      <c r="J29" s="128" t="n">
        <v>0</v>
      </c>
      <c r="K29" s="128" t="n">
        <v>0</v>
      </c>
      <c r="L29" s="128" t="n">
        <v>0</v>
      </c>
      <c r="M29" s="128" t="n">
        <v>0</v>
      </c>
      <c r="N29" s="128" t="n">
        <v>0</v>
      </c>
      <c r="O29" s="128" t="n">
        <v>0</v>
      </c>
      <c r="P29" s="128" t="n">
        <v>0</v>
      </c>
      <c r="Q29" s="128" t="n">
        <v>0</v>
      </c>
      <c r="R29" s="127" t="n">
        <v>1</v>
      </c>
      <c r="S29" s="128" t="n">
        <v>0</v>
      </c>
      <c r="T29" s="128" t="n">
        <v>0</v>
      </c>
      <c r="U29" s="128" t="n">
        <v>0</v>
      </c>
      <c r="V29" s="128" t="n">
        <v>0</v>
      </c>
      <c r="W29" s="128" t="n">
        <v>0</v>
      </c>
      <c r="X29" s="128" t="n">
        <v>0</v>
      </c>
      <c r="Y29" s="128" t="n">
        <v>0</v>
      </c>
      <c r="Z29" s="128" t="n">
        <v>0</v>
      </c>
      <c r="AA29" s="128" t="n">
        <v>0</v>
      </c>
      <c r="AB29" s="128" t="n">
        <v>0</v>
      </c>
      <c r="AC29" s="128" t="n">
        <v>0</v>
      </c>
      <c r="AD29" s="128" t="n">
        <v>0</v>
      </c>
      <c r="AE29" s="128" t="n">
        <v>0</v>
      </c>
      <c r="AF29" s="128" t="n">
        <v>0</v>
      </c>
      <c r="AG29" s="128" t="n">
        <v>0</v>
      </c>
      <c r="AH29" s="128" t="n">
        <v>0</v>
      </c>
      <c r="AI29" s="128" t="n">
        <v>0</v>
      </c>
      <c r="AJ29" s="128" t="n">
        <v>0</v>
      </c>
      <c r="AK29" s="127" t="n">
        <v>1</v>
      </c>
      <c r="AL29" s="128" t="n">
        <v>0</v>
      </c>
      <c r="AM29" s="128" t="n">
        <v>0</v>
      </c>
      <c r="AN29" s="128" t="n">
        <v>0</v>
      </c>
      <c r="AO29" s="128" t="n">
        <v>0</v>
      </c>
      <c r="AP29" s="128" t="n">
        <v>0</v>
      </c>
      <c r="AQ29" s="128" t="n">
        <v>0</v>
      </c>
      <c r="AS29" s="129">
        <f>IF(SUM('03_Colocation_Calc'!$T$29:$AC$29)&gt;0,1,0)</f>
        <v/>
      </c>
    </row>
    <row r="30" ht="16" customHeight="1">
      <c r="A30" s="126" t="inlineStr">
        <is>
          <t>testssl</t>
        </is>
      </c>
      <c r="B30" s="126" t="inlineStr">
        <is>
          <t>testssl.sh / sslyze / CBOMkit (TLS + Crypto Inventory)</t>
        </is>
      </c>
      <c r="C30" s="128" t="n">
        <v>0</v>
      </c>
      <c r="D30" s="128" t="n">
        <v>0</v>
      </c>
      <c r="E30" s="128" t="n">
        <v>0</v>
      </c>
      <c r="F30" s="128" t="n">
        <v>0</v>
      </c>
      <c r="G30" s="128" t="n">
        <v>0</v>
      </c>
      <c r="H30" s="128" t="n">
        <v>0</v>
      </c>
      <c r="I30" s="128" t="n">
        <v>0</v>
      </c>
      <c r="J30" s="128" t="n">
        <v>0</v>
      </c>
      <c r="K30" s="128" t="n">
        <v>0</v>
      </c>
      <c r="L30" s="128" t="n">
        <v>0</v>
      </c>
      <c r="M30" s="128" t="n">
        <v>0</v>
      </c>
      <c r="N30" s="128" t="n">
        <v>0</v>
      </c>
      <c r="O30" s="128" t="n">
        <v>0</v>
      </c>
      <c r="P30" s="128" t="n">
        <v>0</v>
      </c>
      <c r="Q30" s="128" t="n">
        <v>0</v>
      </c>
      <c r="R30" s="128" t="n">
        <v>0</v>
      </c>
      <c r="S30" s="128" t="n">
        <v>0</v>
      </c>
      <c r="T30" s="128" t="n">
        <v>0</v>
      </c>
      <c r="U30" s="128" t="n">
        <v>0</v>
      </c>
      <c r="V30" s="128" t="n">
        <v>0</v>
      </c>
      <c r="W30" s="128" t="n">
        <v>0</v>
      </c>
      <c r="X30" s="128" t="n">
        <v>0</v>
      </c>
      <c r="Y30" s="128" t="n">
        <v>0</v>
      </c>
      <c r="Z30" s="128" t="n">
        <v>0</v>
      </c>
      <c r="AA30" s="128" t="n">
        <v>0</v>
      </c>
      <c r="AB30" s="128" t="n">
        <v>0</v>
      </c>
      <c r="AC30" s="128" t="n">
        <v>0</v>
      </c>
      <c r="AD30" s="128" t="n">
        <v>0</v>
      </c>
      <c r="AE30" s="128" t="n">
        <v>0</v>
      </c>
      <c r="AF30" s="128" t="n">
        <v>0</v>
      </c>
      <c r="AG30" s="128" t="n">
        <v>0</v>
      </c>
      <c r="AH30" s="128" t="n">
        <v>0</v>
      </c>
      <c r="AI30" s="128" t="n">
        <v>0</v>
      </c>
      <c r="AJ30" s="127" t="n">
        <v>1</v>
      </c>
      <c r="AK30" s="128" t="n">
        <v>0</v>
      </c>
      <c r="AL30" s="128" t="n">
        <v>0</v>
      </c>
      <c r="AM30" s="128" t="n">
        <v>0</v>
      </c>
      <c r="AN30" s="128" t="n">
        <v>0</v>
      </c>
      <c r="AO30" s="127" t="n">
        <v>1</v>
      </c>
      <c r="AP30" s="128" t="n">
        <v>0</v>
      </c>
      <c r="AQ30" s="128" t="n">
        <v>0</v>
      </c>
      <c r="AS30" s="129">
        <f>IF(SUM('03_Colocation_Calc'!$T$30:$AC$30)&gt;0,1,0)</f>
        <v/>
      </c>
    </row>
    <row r="31" ht="16" customHeight="1">
      <c r="A31" s="126" t="inlineStr">
        <is>
          <t>harbor</t>
        </is>
      </c>
      <c r="B31" s="126" t="inlineStr">
        <is>
          <t>Harbor (Private Container Registry, CNCF Graduated)</t>
        </is>
      </c>
      <c r="C31" s="128" t="n">
        <v>0</v>
      </c>
      <c r="D31" s="128" t="n">
        <v>0</v>
      </c>
      <c r="E31" s="128" t="n">
        <v>0</v>
      </c>
      <c r="F31" s="128" t="n">
        <v>0</v>
      </c>
      <c r="G31" s="128" t="n">
        <v>0</v>
      </c>
      <c r="H31" s="128" t="n">
        <v>0</v>
      </c>
      <c r="I31" s="128" t="n">
        <v>0</v>
      </c>
      <c r="J31" s="128" t="n">
        <v>0</v>
      </c>
      <c r="K31" s="128" t="n">
        <v>0</v>
      </c>
      <c r="L31" s="128" t="n">
        <v>0</v>
      </c>
      <c r="M31" s="128" t="n">
        <v>0</v>
      </c>
      <c r="N31" s="127" t="n">
        <v>1</v>
      </c>
      <c r="O31" s="128" t="n">
        <v>0</v>
      </c>
      <c r="P31" s="127" t="n">
        <v>1</v>
      </c>
      <c r="Q31" s="128" t="n">
        <v>0</v>
      </c>
      <c r="R31" s="128" t="n">
        <v>0</v>
      </c>
      <c r="S31" s="128" t="n">
        <v>0</v>
      </c>
      <c r="T31" s="128" t="n">
        <v>0</v>
      </c>
      <c r="U31" s="128" t="n">
        <v>0</v>
      </c>
      <c r="V31" s="127" t="n">
        <v>1</v>
      </c>
      <c r="W31" s="127" t="n">
        <v>1</v>
      </c>
      <c r="X31" s="128" t="n">
        <v>0</v>
      </c>
      <c r="Y31" s="127" t="n">
        <v>1</v>
      </c>
      <c r="Z31" s="128" t="n">
        <v>0</v>
      </c>
      <c r="AA31" s="128" t="n">
        <v>0</v>
      </c>
      <c r="AB31" s="128" t="n">
        <v>0</v>
      </c>
      <c r="AC31" s="128" t="n">
        <v>0</v>
      </c>
      <c r="AD31" s="128" t="n">
        <v>0</v>
      </c>
      <c r="AE31" s="128" t="n">
        <v>0</v>
      </c>
      <c r="AF31" s="128" t="n">
        <v>0</v>
      </c>
      <c r="AG31" s="128" t="n">
        <v>0</v>
      </c>
      <c r="AH31" s="128" t="n">
        <v>0</v>
      </c>
      <c r="AI31" s="128" t="n">
        <v>0</v>
      </c>
      <c r="AJ31" s="128" t="n">
        <v>0</v>
      </c>
      <c r="AK31" s="128" t="n">
        <v>0</v>
      </c>
      <c r="AL31" s="128" t="n">
        <v>0</v>
      </c>
      <c r="AM31" s="128" t="n">
        <v>0</v>
      </c>
      <c r="AN31" s="128" t="n">
        <v>0</v>
      </c>
      <c r="AO31" s="128" t="n">
        <v>0</v>
      </c>
      <c r="AP31" s="128" t="n">
        <v>0</v>
      </c>
      <c r="AQ31" s="128" t="n">
        <v>0</v>
      </c>
      <c r="AS31" s="129">
        <f>IF(SUM('03_Colocation_Calc'!$T$31:$AC$31)&gt;0,1,0)</f>
        <v/>
      </c>
    </row>
    <row r="32" ht="16" customHeight="1">
      <c r="A32" s="126" t="inlineStr">
        <is>
          <t>minio</t>
        </is>
      </c>
      <c r="B32" s="126" t="inlineStr">
        <is>
          <t>MinIO (S3-compatible Object Storage)</t>
        </is>
      </c>
      <c r="C32" s="128" t="n">
        <v>0</v>
      </c>
      <c r="D32" s="128" t="n">
        <v>0</v>
      </c>
      <c r="E32" s="128" t="n">
        <v>0</v>
      </c>
      <c r="F32" s="128" t="n">
        <v>0</v>
      </c>
      <c r="G32" s="128" t="n">
        <v>0</v>
      </c>
      <c r="H32" s="128" t="n">
        <v>0</v>
      </c>
      <c r="I32" s="128" t="n">
        <v>0</v>
      </c>
      <c r="J32" s="128" t="n">
        <v>0</v>
      </c>
      <c r="K32" s="128" t="n">
        <v>0</v>
      </c>
      <c r="L32" s="128" t="n">
        <v>0</v>
      </c>
      <c r="M32" s="128" t="n">
        <v>0</v>
      </c>
      <c r="N32" s="128" t="n">
        <v>0</v>
      </c>
      <c r="O32" s="128" t="n">
        <v>0</v>
      </c>
      <c r="P32" s="128" t="n">
        <v>0</v>
      </c>
      <c r="Q32" s="128" t="n">
        <v>0</v>
      </c>
      <c r="R32" s="128" t="n">
        <v>0</v>
      </c>
      <c r="S32" s="128" t="n">
        <v>0</v>
      </c>
      <c r="T32" s="128" t="n">
        <v>0</v>
      </c>
      <c r="U32" s="128" t="n">
        <v>0</v>
      </c>
      <c r="V32" s="127" t="n">
        <v>1</v>
      </c>
      <c r="W32" s="128" t="n">
        <v>0</v>
      </c>
      <c r="X32" s="128" t="n">
        <v>0</v>
      </c>
      <c r="Y32" s="127" t="n">
        <v>1</v>
      </c>
      <c r="Z32" s="128" t="n">
        <v>0</v>
      </c>
      <c r="AA32" s="128" t="n">
        <v>0</v>
      </c>
      <c r="AB32" s="128" t="n">
        <v>0</v>
      </c>
      <c r="AC32" s="128" t="n">
        <v>0</v>
      </c>
      <c r="AD32" s="128" t="n">
        <v>0</v>
      </c>
      <c r="AE32" s="128" t="n">
        <v>0</v>
      </c>
      <c r="AF32" s="128" t="n">
        <v>0</v>
      </c>
      <c r="AG32" s="128" t="n">
        <v>0</v>
      </c>
      <c r="AH32" s="128" t="n">
        <v>0</v>
      </c>
      <c r="AI32" s="128" t="n">
        <v>0</v>
      </c>
      <c r="AJ32" s="128" t="n">
        <v>0</v>
      </c>
      <c r="AK32" s="128" t="n">
        <v>0</v>
      </c>
      <c r="AL32" s="128" t="n">
        <v>0</v>
      </c>
      <c r="AM32" s="127" t="n">
        <v>1</v>
      </c>
      <c r="AN32" s="128" t="n">
        <v>0</v>
      </c>
      <c r="AO32" s="128" t="n">
        <v>0</v>
      </c>
      <c r="AP32" s="128" t="n">
        <v>0</v>
      </c>
      <c r="AQ32" s="128" t="n">
        <v>0</v>
      </c>
      <c r="AS32" s="129">
        <f>IF(SUM('03_Colocation_Calc'!$T$32:$AC$32)&gt;0,1,0)</f>
        <v/>
      </c>
    </row>
    <row r="33" ht="16" customHeight="1">
      <c r="A33" s="126" t="inlineStr">
        <is>
          <t>elasticsearch</t>
        </is>
      </c>
      <c r="B33" s="126" t="inlineStr">
        <is>
          <t>Elasticsearch (Log / Audit Trail Index)</t>
        </is>
      </c>
      <c r="C33" s="128" t="n">
        <v>0</v>
      </c>
      <c r="D33" s="128" t="n">
        <v>0</v>
      </c>
      <c r="E33" s="128" t="n">
        <v>0</v>
      </c>
      <c r="F33" s="128" t="n">
        <v>0</v>
      </c>
      <c r="G33" s="128" t="n">
        <v>0</v>
      </c>
      <c r="H33" s="128" t="n">
        <v>0</v>
      </c>
      <c r="I33" s="128" t="n">
        <v>0</v>
      </c>
      <c r="J33" s="128" t="n">
        <v>0</v>
      </c>
      <c r="K33" s="128" t="n">
        <v>0</v>
      </c>
      <c r="L33" s="128" t="n">
        <v>0</v>
      </c>
      <c r="M33" s="128" t="n">
        <v>0</v>
      </c>
      <c r="N33" s="128" t="n">
        <v>0</v>
      </c>
      <c r="O33" s="128" t="n">
        <v>0</v>
      </c>
      <c r="P33" s="128" t="n">
        <v>0</v>
      </c>
      <c r="Q33" s="128" t="n">
        <v>0</v>
      </c>
      <c r="R33" s="128" t="n">
        <v>0</v>
      </c>
      <c r="S33" s="128" t="n">
        <v>0</v>
      </c>
      <c r="T33" s="128" t="n">
        <v>0</v>
      </c>
      <c r="U33" s="128" t="n">
        <v>0</v>
      </c>
      <c r="V33" s="128" t="n">
        <v>0</v>
      </c>
      <c r="W33" s="128" t="n">
        <v>0</v>
      </c>
      <c r="X33" s="128" t="n">
        <v>0</v>
      </c>
      <c r="Y33" s="127" t="n">
        <v>1</v>
      </c>
      <c r="Z33" s="127" t="n">
        <v>1</v>
      </c>
      <c r="AA33" s="127" t="n">
        <v>1</v>
      </c>
      <c r="AB33" s="128" t="n">
        <v>0</v>
      </c>
      <c r="AC33" s="128" t="n">
        <v>0</v>
      </c>
      <c r="AD33" s="128" t="n">
        <v>0</v>
      </c>
      <c r="AE33" s="128" t="n">
        <v>0</v>
      </c>
      <c r="AF33" s="128" t="n">
        <v>0</v>
      </c>
      <c r="AG33" s="128" t="n">
        <v>0</v>
      </c>
      <c r="AH33" s="128" t="n">
        <v>0</v>
      </c>
      <c r="AI33" s="128" t="n">
        <v>0</v>
      </c>
      <c r="AJ33" s="128" t="n">
        <v>0</v>
      </c>
      <c r="AK33" s="128" t="n">
        <v>0</v>
      </c>
      <c r="AL33" s="128" t="n">
        <v>0</v>
      </c>
      <c r="AM33" s="128" t="n">
        <v>0</v>
      </c>
      <c r="AN33" s="128" t="n">
        <v>0</v>
      </c>
      <c r="AO33" s="128" t="n">
        <v>0</v>
      </c>
      <c r="AP33" s="128" t="n">
        <v>0</v>
      </c>
      <c r="AQ33" s="128" t="n">
        <v>0</v>
      </c>
      <c r="AS33" s="129">
        <f>IF(SUM('03_Colocation_Calc'!$T$33:$AC$33)&gt;0,1,0)</f>
        <v/>
      </c>
    </row>
    <row r="34" ht="16" customHeight="1">
      <c r="A34" s="126" t="inlineStr">
        <is>
          <t>logstash</t>
        </is>
      </c>
      <c r="B34" s="126" t="inlineStr">
        <is>
          <t>Logstash (Log Pipeline / Parser)</t>
        </is>
      </c>
      <c r="C34" s="128" t="n">
        <v>0</v>
      </c>
      <c r="D34" s="128" t="n">
        <v>0</v>
      </c>
      <c r="E34" s="128" t="n">
        <v>0</v>
      </c>
      <c r="F34" s="128" t="n">
        <v>0</v>
      </c>
      <c r="G34" s="128" t="n">
        <v>0</v>
      </c>
      <c r="H34" s="128" t="n">
        <v>0</v>
      </c>
      <c r="I34" s="128" t="n">
        <v>0</v>
      </c>
      <c r="J34" s="128" t="n">
        <v>0</v>
      </c>
      <c r="K34" s="128" t="n">
        <v>0</v>
      </c>
      <c r="L34" s="128" t="n">
        <v>0</v>
      </c>
      <c r="M34" s="128" t="n">
        <v>0</v>
      </c>
      <c r="N34" s="128" t="n">
        <v>0</v>
      </c>
      <c r="O34" s="128" t="n">
        <v>0</v>
      </c>
      <c r="P34" s="128" t="n">
        <v>0</v>
      </c>
      <c r="Q34" s="128" t="n">
        <v>0</v>
      </c>
      <c r="R34" s="128" t="n">
        <v>0</v>
      </c>
      <c r="S34" s="128" t="n">
        <v>0</v>
      </c>
      <c r="T34" s="128" t="n">
        <v>0</v>
      </c>
      <c r="U34" s="128" t="n">
        <v>0</v>
      </c>
      <c r="V34" s="128" t="n">
        <v>0</v>
      </c>
      <c r="W34" s="128" t="n">
        <v>0</v>
      </c>
      <c r="X34" s="128" t="n">
        <v>0</v>
      </c>
      <c r="Y34" s="128" t="n">
        <v>0</v>
      </c>
      <c r="Z34" s="127" t="n">
        <v>1</v>
      </c>
      <c r="AA34" s="128" t="n">
        <v>0</v>
      </c>
      <c r="AB34" s="128" t="n">
        <v>0</v>
      </c>
      <c r="AC34" s="128" t="n">
        <v>0</v>
      </c>
      <c r="AD34" s="128" t="n">
        <v>0</v>
      </c>
      <c r="AE34" s="128" t="n">
        <v>0</v>
      </c>
      <c r="AF34" s="128" t="n">
        <v>0</v>
      </c>
      <c r="AG34" s="128" t="n">
        <v>0</v>
      </c>
      <c r="AH34" s="128" t="n">
        <v>0</v>
      </c>
      <c r="AI34" s="128" t="n">
        <v>0</v>
      </c>
      <c r="AJ34" s="128" t="n">
        <v>0</v>
      </c>
      <c r="AK34" s="128" t="n">
        <v>0</v>
      </c>
      <c r="AL34" s="128" t="n">
        <v>0</v>
      </c>
      <c r="AM34" s="128" t="n">
        <v>0</v>
      </c>
      <c r="AN34" s="128" t="n">
        <v>0</v>
      </c>
      <c r="AO34" s="128" t="n">
        <v>0</v>
      </c>
      <c r="AP34" s="128" t="n">
        <v>0</v>
      </c>
      <c r="AQ34" s="128" t="n">
        <v>0</v>
      </c>
      <c r="AS34" s="129">
        <f>IF(SUM('03_Colocation_Calc'!$T$34:$AC$34)&gt;0,1,0)</f>
        <v/>
      </c>
    </row>
    <row r="35" ht="16" customHeight="1">
      <c r="A35" s="126" t="inlineStr">
        <is>
          <t>kibana</t>
        </is>
      </c>
      <c r="B35" s="126" t="inlineStr">
        <is>
          <t>Kibana (Log Visualization / Audit Review)</t>
        </is>
      </c>
      <c r="C35" s="128" t="n">
        <v>0</v>
      </c>
      <c r="D35" s="128" t="n">
        <v>0</v>
      </c>
      <c r="E35" s="128" t="n">
        <v>0</v>
      </c>
      <c r="F35" s="128" t="n">
        <v>0</v>
      </c>
      <c r="G35" s="128" t="n">
        <v>0</v>
      </c>
      <c r="H35" s="128" t="n">
        <v>0</v>
      </c>
      <c r="I35" s="128" t="n">
        <v>0</v>
      </c>
      <c r="J35" s="128" t="n">
        <v>0</v>
      </c>
      <c r="K35" s="128" t="n">
        <v>0</v>
      </c>
      <c r="L35" s="128" t="n">
        <v>0</v>
      </c>
      <c r="M35" s="128" t="n">
        <v>0</v>
      </c>
      <c r="N35" s="128" t="n">
        <v>0</v>
      </c>
      <c r="O35" s="128" t="n">
        <v>0</v>
      </c>
      <c r="P35" s="128" t="n">
        <v>0</v>
      </c>
      <c r="Q35" s="128" t="n">
        <v>0</v>
      </c>
      <c r="R35" s="128" t="n">
        <v>0</v>
      </c>
      <c r="S35" s="128" t="n">
        <v>0</v>
      </c>
      <c r="T35" s="128" t="n">
        <v>0</v>
      </c>
      <c r="U35" s="128" t="n">
        <v>0</v>
      </c>
      <c r="V35" s="128" t="n">
        <v>0</v>
      </c>
      <c r="W35" s="128" t="n">
        <v>0</v>
      </c>
      <c r="X35" s="128" t="n">
        <v>0</v>
      </c>
      <c r="Y35" s="127" t="n">
        <v>1</v>
      </c>
      <c r="Z35" s="127" t="n">
        <v>1</v>
      </c>
      <c r="AA35" s="127" t="n">
        <v>1</v>
      </c>
      <c r="AB35" s="128" t="n">
        <v>0</v>
      </c>
      <c r="AC35" s="128" t="n">
        <v>0</v>
      </c>
      <c r="AD35" s="128" t="n">
        <v>0</v>
      </c>
      <c r="AE35" s="128" t="n">
        <v>0</v>
      </c>
      <c r="AF35" s="128" t="n">
        <v>0</v>
      </c>
      <c r="AG35" s="128" t="n">
        <v>0</v>
      </c>
      <c r="AH35" s="128" t="n">
        <v>0</v>
      </c>
      <c r="AI35" s="128" t="n">
        <v>0</v>
      </c>
      <c r="AJ35" s="128" t="n">
        <v>0</v>
      </c>
      <c r="AK35" s="128" t="n">
        <v>0</v>
      </c>
      <c r="AL35" s="128" t="n">
        <v>0</v>
      </c>
      <c r="AM35" s="128" t="n">
        <v>0</v>
      </c>
      <c r="AN35" s="128" t="n">
        <v>0</v>
      </c>
      <c r="AO35" s="128" t="n">
        <v>0</v>
      </c>
      <c r="AP35" s="128" t="n">
        <v>0</v>
      </c>
      <c r="AQ35" s="128" t="n">
        <v>0</v>
      </c>
      <c r="AS35" s="129">
        <f>IF(SUM('03_Colocation_Calc'!$T$35:$AC$35)&gt;0,1,0)</f>
        <v/>
      </c>
    </row>
    <row r="36" ht="16" customHeight="1">
      <c r="A36" s="126" t="inlineStr">
        <is>
          <t>filebeat</t>
        </is>
      </c>
      <c r="B36" s="126" t="inlineStr">
        <is>
          <t>Filebeat (Log Shipper ต่อเครื่อง)</t>
        </is>
      </c>
      <c r="C36" s="128" t="n">
        <v>0</v>
      </c>
      <c r="D36" s="128" t="n">
        <v>0</v>
      </c>
      <c r="E36" s="128" t="n">
        <v>0</v>
      </c>
      <c r="F36" s="128" t="n">
        <v>0</v>
      </c>
      <c r="G36" s="128" t="n">
        <v>0</v>
      </c>
      <c r="H36" s="128" t="n">
        <v>0</v>
      </c>
      <c r="I36" s="128" t="n">
        <v>0</v>
      </c>
      <c r="J36" s="128" t="n">
        <v>0</v>
      </c>
      <c r="K36" s="128" t="n">
        <v>0</v>
      </c>
      <c r="L36" s="128" t="n">
        <v>0</v>
      </c>
      <c r="M36" s="128" t="n">
        <v>0</v>
      </c>
      <c r="N36" s="128" t="n">
        <v>0</v>
      </c>
      <c r="O36" s="128" t="n">
        <v>0</v>
      </c>
      <c r="P36" s="128" t="n">
        <v>0</v>
      </c>
      <c r="Q36" s="128" t="n">
        <v>0</v>
      </c>
      <c r="R36" s="128" t="n">
        <v>0</v>
      </c>
      <c r="S36" s="128" t="n">
        <v>0</v>
      </c>
      <c r="T36" s="128" t="n">
        <v>0</v>
      </c>
      <c r="U36" s="128" t="n">
        <v>0</v>
      </c>
      <c r="V36" s="128" t="n">
        <v>0</v>
      </c>
      <c r="W36" s="128" t="n">
        <v>0</v>
      </c>
      <c r="X36" s="128" t="n">
        <v>0</v>
      </c>
      <c r="Y36" s="128" t="n">
        <v>0</v>
      </c>
      <c r="Z36" s="127" t="n">
        <v>1</v>
      </c>
      <c r="AA36" s="128" t="n">
        <v>0</v>
      </c>
      <c r="AB36" s="128" t="n">
        <v>0</v>
      </c>
      <c r="AC36" s="128" t="n">
        <v>0</v>
      </c>
      <c r="AD36" s="128" t="n">
        <v>0</v>
      </c>
      <c r="AE36" s="128" t="n">
        <v>0</v>
      </c>
      <c r="AF36" s="128" t="n">
        <v>0</v>
      </c>
      <c r="AG36" s="128" t="n">
        <v>0</v>
      </c>
      <c r="AH36" s="128" t="n">
        <v>0</v>
      </c>
      <c r="AI36" s="128" t="n">
        <v>0</v>
      </c>
      <c r="AJ36" s="128" t="n">
        <v>0</v>
      </c>
      <c r="AK36" s="128" t="n">
        <v>0</v>
      </c>
      <c r="AL36" s="128" t="n">
        <v>0</v>
      </c>
      <c r="AM36" s="128" t="n">
        <v>0</v>
      </c>
      <c r="AN36" s="128" t="n">
        <v>0</v>
      </c>
      <c r="AO36" s="128" t="n">
        <v>0</v>
      </c>
      <c r="AP36" s="128" t="n">
        <v>0</v>
      </c>
      <c r="AQ36" s="128" t="n">
        <v>0</v>
      </c>
      <c r="AS36" s="129">
        <f>IF(SUM('03_Colocation_Calc'!$T$36:$AC$36)&gt;0,1,0)</f>
        <v/>
      </c>
    </row>
    <row r="37" ht="16" customHeight="1">
      <c r="A37" s="126" t="inlineStr">
        <is>
          <t>wazuh</t>
        </is>
      </c>
      <c r="B37" s="126" t="inlineStr">
        <is>
          <t>Wazuh (SIEM / HIDS + Alerting)</t>
        </is>
      </c>
      <c r="C37" s="128" t="n">
        <v>0</v>
      </c>
      <c r="D37" s="128" t="n">
        <v>0</v>
      </c>
      <c r="E37" s="128" t="n">
        <v>0</v>
      </c>
      <c r="F37" s="128" t="n">
        <v>0</v>
      </c>
      <c r="G37" s="128" t="n">
        <v>0</v>
      </c>
      <c r="H37" s="128" t="n">
        <v>0</v>
      </c>
      <c r="I37" s="128" t="n">
        <v>0</v>
      </c>
      <c r="J37" s="128" t="n">
        <v>0</v>
      </c>
      <c r="K37" s="128" t="n">
        <v>0</v>
      </c>
      <c r="L37" s="128" t="n">
        <v>0</v>
      </c>
      <c r="M37" s="128" t="n">
        <v>0</v>
      </c>
      <c r="N37" s="128" t="n">
        <v>0</v>
      </c>
      <c r="O37" s="128" t="n">
        <v>0</v>
      </c>
      <c r="P37" s="128" t="n">
        <v>0</v>
      </c>
      <c r="Q37" s="128" t="n">
        <v>0</v>
      </c>
      <c r="R37" s="128" t="n">
        <v>0</v>
      </c>
      <c r="S37" s="128" t="n">
        <v>0</v>
      </c>
      <c r="T37" s="128" t="n">
        <v>0</v>
      </c>
      <c r="U37" s="128" t="n">
        <v>0</v>
      </c>
      <c r="V37" s="128" t="n">
        <v>0</v>
      </c>
      <c r="W37" s="128" t="n">
        <v>0</v>
      </c>
      <c r="X37" s="128" t="n">
        <v>0</v>
      </c>
      <c r="Y37" s="127" t="n">
        <v>1</v>
      </c>
      <c r="Z37" s="127" t="n">
        <v>1</v>
      </c>
      <c r="AA37" s="127" t="n">
        <v>1</v>
      </c>
      <c r="AB37" s="128" t="n">
        <v>0</v>
      </c>
      <c r="AC37" s="128" t="n">
        <v>0</v>
      </c>
      <c r="AD37" s="128" t="n">
        <v>0</v>
      </c>
      <c r="AE37" s="127" t="n">
        <v>1</v>
      </c>
      <c r="AF37" s="128" t="n">
        <v>0</v>
      </c>
      <c r="AG37" s="128" t="n">
        <v>0</v>
      </c>
      <c r="AH37" s="127" t="n">
        <v>1</v>
      </c>
      <c r="AI37" s="128" t="n">
        <v>0</v>
      </c>
      <c r="AJ37" s="128" t="n">
        <v>0</v>
      </c>
      <c r="AK37" s="128" t="n">
        <v>0</v>
      </c>
      <c r="AL37" s="128" t="n">
        <v>0</v>
      </c>
      <c r="AM37" s="128" t="n">
        <v>0</v>
      </c>
      <c r="AN37" s="128" t="n">
        <v>0</v>
      </c>
      <c r="AO37" s="128" t="n">
        <v>0</v>
      </c>
      <c r="AP37" s="128" t="n">
        <v>0</v>
      </c>
      <c r="AQ37" s="128" t="n">
        <v>0</v>
      </c>
      <c r="AS37" s="129">
        <f>IF(SUM('03_Colocation_Calc'!$T$37:$AC$37)&gt;0,1,0)</f>
        <v/>
      </c>
    </row>
    <row r="38" ht="16" customHeight="1">
      <c r="A38" s="126" t="inlineStr">
        <is>
          <t>vault</t>
        </is>
      </c>
      <c r="B38" s="126" t="inlineStr">
        <is>
          <t>HashiCorp Vault / OpenBao (Secret Management)</t>
        </is>
      </c>
      <c r="C38" s="128" t="n">
        <v>0</v>
      </c>
      <c r="D38" s="128" t="n">
        <v>0</v>
      </c>
      <c r="E38" s="128" t="n">
        <v>0</v>
      </c>
      <c r="F38" s="128" t="n">
        <v>0</v>
      </c>
      <c r="G38" s="128" t="n">
        <v>0</v>
      </c>
      <c r="H38" s="128" t="n">
        <v>0</v>
      </c>
      <c r="I38" s="128" t="n">
        <v>0</v>
      </c>
      <c r="J38" s="128" t="n">
        <v>0</v>
      </c>
      <c r="K38" s="128" t="n">
        <v>0</v>
      </c>
      <c r="L38" s="128" t="n">
        <v>0</v>
      </c>
      <c r="M38" s="128" t="n">
        <v>0</v>
      </c>
      <c r="N38" s="128" t="n">
        <v>0</v>
      </c>
      <c r="O38" s="128" t="n">
        <v>0</v>
      </c>
      <c r="P38" s="128" t="n">
        <v>0</v>
      </c>
      <c r="Q38" s="128" t="n">
        <v>0</v>
      </c>
      <c r="R38" s="128" t="n">
        <v>0</v>
      </c>
      <c r="S38" s="128" t="n">
        <v>0</v>
      </c>
      <c r="T38" s="128" t="n">
        <v>0</v>
      </c>
      <c r="U38" s="128" t="n">
        <v>0</v>
      </c>
      <c r="V38" s="128" t="n">
        <v>0</v>
      </c>
      <c r="W38" s="128" t="n">
        <v>0</v>
      </c>
      <c r="X38" s="128" t="n">
        <v>0</v>
      </c>
      <c r="Y38" s="127" t="n">
        <v>1</v>
      </c>
      <c r="Z38" s="128" t="n">
        <v>0</v>
      </c>
      <c r="AA38" s="128" t="n">
        <v>0</v>
      </c>
      <c r="AB38" s="128" t="n">
        <v>0</v>
      </c>
      <c r="AC38" s="128" t="n">
        <v>0</v>
      </c>
      <c r="AD38" s="128" t="n">
        <v>0</v>
      </c>
      <c r="AE38" s="128" t="n">
        <v>0</v>
      </c>
      <c r="AF38" s="128" t="n">
        <v>0</v>
      </c>
      <c r="AG38" s="127" t="n">
        <v>1</v>
      </c>
      <c r="AH38" s="128" t="n">
        <v>0</v>
      </c>
      <c r="AI38" s="128" t="n">
        <v>0</v>
      </c>
      <c r="AJ38" s="128" t="n">
        <v>0</v>
      </c>
      <c r="AK38" s="128" t="n">
        <v>0</v>
      </c>
      <c r="AL38" s="128" t="n">
        <v>0</v>
      </c>
      <c r="AM38" s="128" t="n">
        <v>0</v>
      </c>
      <c r="AN38" s="127" t="n">
        <v>1</v>
      </c>
      <c r="AO38" s="128" t="n">
        <v>0</v>
      </c>
      <c r="AP38" s="128" t="n">
        <v>0</v>
      </c>
      <c r="AQ38" s="128" t="n">
        <v>0</v>
      </c>
      <c r="AS38" s="129">
        <f>IF(SUM('03_Colocation_Calc'!$T$38:$AC$38)&gt;0,1,0)</f>
        <v/>
      </c>
    </row>
    <row r="39" ht="16" customHeight="1">
      <c r="A39" s="126" t="inlineStr">
        <is>
          <t>k3s-control</t>
        </is>
      </c>
      <c r="B39" s="126" t="inlineStr">
        <is>
          <t>Kubernetes / K3s Control Plane (ต่อ 1 Node)</t>
        </is>
      </c>
      <c r="C39" s="128" t="n">
        <v>0</v>
      </c>
      <c r="D39" s="128" t="n">
        <v>0</v>
      </c>
      <c r="E39" s="128" t="n">
        <v>0</v>
      </c>
      <c r="F39" s="128" t="n">
        <v>0</v>
      </c>
      <c r="G39" s="128" t="n">
        <v>0</v>
      </c>
      <c r="H39" s="128" t="n">
        <v>0</v>
      </c>
      <c r="I39" s="128" t="n">
        <v>0</v>
      </c>
      <c r="J39" s="128" t="n">
        <v>0</v>
      </c>
      <c r="K39" s="128" t="n">
        <v>0</v>
      </c>
      <c r="L39" s="128" t="n">
        <v>0</v>
      </c>
      <c r="M39" s="128" t="n">
        <v>0</v>
      </c>
      <c r="N39" s="128" t="n">
        <v>0</v>
      </c>
      <c r="O39" s="128" t="n">
        <v>0</v>
      </c>
      <c r="P39" s="128" t="n">
        <v>0</v>
      </c>
      <c r="Q39" s="128" t="n">
        <v>0</v>
      </c>
      <c r="R39" s="128" t="n">
        <v>0</v>
      </c>
      <c r="S39" s="128" t="n">
        <v>0</v>
      </c>
      <c r="T39" s="128" t="n">
        <v>0</v>
      </c>
      <c r="U39" s="128" t="n">
        <v>0</v>
      </c>
      <c r="V39" s="128" t="n">
        <v>0</v>
      </c>
      <c r="W39" s="128" t="n">
        <v>0</v>
      </c>
      <c r="X39" s="128" t="n">
        <v>0</v>
      </c>
      <c r="Y39" s="128" t="n">
        <v>0</v>
      </c>
      <c r="Z39" s="128" t="n">
        <v>0</v>
      </c>
      <c r="AA39" s="128" t="n">
        <v>0</v>
      </c>
      <c r="AB39" s="128" t="n">
        <v>0</v>
      </c>
      <c r="AC39" s="127" t="n">
        <v>1</v>
      </c>
      <c r="AD39" s="127" t="n">
        <v>1</v>
      </c>
      <c r="AE39" s="128" t="n">
        <v>0</v>
      </c>
      <c r="AF39" s="128" t="n">
        <v>0</v>
      </c>
      <c r="AG39" s="128" t="n">
        <v>0</v>
      </c>
      <c r="AH39" s="128" t="n">
        <v>0</v>
      </c>
      <c r="AI39" s="128" t="n">
        <v>0</v>
      </c>
      <c r="AJ39" s="128" t="n">
        <v>0</v>
      </c>
      <c r="AK39" s="128" t="n">
        <v>0</v>
      </c>
      <c r="AL39" s="128" t="n">
        <v>0</v>
      </c>
      <c r="AM39" s="128" t="n">
        <v>0</v>
      </c>
      <c r="AN39" s="127" t="n">
        <v>1</v>
      </c>
      <c r="AO39" s="128" t="n">
        <v>0</v>
      </c>
      <c r="AP39" s="128" t="n">
        <v>0</v>
      </c>
      <c r="AQ39" s="128" t="n">
        <v>0</v>
      </c>
      <c r="AS39" s="129">
        <f>IF(SUM('03_Colocation_Calc'!$T$39:$AC$39)&gt;0,1,0)</f>
        <v/>
      </c>
    </row>
    <row r="40" ht="16" customHeight="1">
      <c r="A40" s="126" t="inlineStr">
        <is>
          <t>argocd</t>
        </is>
      </c>
      <c r="B40" s="126" t="inlineStr">
        <is>
          <t>Argo CD / Flux (GitOps Continuous Delivery)</t>
        </is>
      </c>
      <c r="C40" s="128" t="n">
        <v>0</v>
      </c>
      <c r="D40" s="128" t="n">
        <v>0</v>
      </c>
      <c r="E40" s="128" t="n">
        <v>0</v>
      </c>
      <c r="F40" s="128" t="n">
        <v>0</v>
      </c>
      <c r="G40" s="128" t="n">
        <v>0</v>
      </c>
      <c r="H40" s="128" t="n">
        <v>0</v>
      </c>
      <c r="I40" s="128" t="n">
        <v>0</v>
      </c>
      <c r="J40" s="128" t="n">
        <v>0</v>
      </c>
      <c r="K40" s="128" t="n">
        <v>0</v>
      </c>
      <c r="L40" s="128" t="n">
        <v>0</v>
      </c>
      <c r="M40" s="128" t="n">
        <v>0</v>
      </c>
      <c r="N40" s="128" t="n">
        <v>0</v>
      </c>
      <c r="O40" s="128" t="n">
        <v>0</v>
      </c>
      <c r="P40" s="128" t="n">
        <v>0</v>
      </c>
      <c r="Q40" s="128" t="n">
        <v>0</v>
      </c>
      <c r="R40" s="128" t="n">
        <v>0</v>
      </c>
      <c r="S40" s="128" t="n">
        <v>0</v>
      </c>
      <c r="T40" s="128" t="n">
        <v>0</v>
      </c>
      <c r="U40" s="128" t="n">
        <v>0</v>
      </c>
      <c r="V40" s="128" t="n">
        <v>0</v>
      </c>
      <c r="W40" s="127" t="n">
        <v>1</v>
      </c>
      <c r="X40" s="128" t="n">
        <v>0</v>
      </c>
      <c r="Y40" s="127" t="n">
        <v>1</v>
      </c>
      <c r="Z40" s="128" t="n">
        <v>0</v>
      </c>
      <c r="AA40" s="128" t="n">
        <v>0</v>
      </c>
      <c r="AB40" s="127" t="n">
        <v>1</v>
      </c>
      <c r="AC40" s="127" t="n">
        <v>1</v>
      </c>
      <c r="AD40" s="128" t="n">
        <v>0</v>
      </c>
      <c r="AE40" s="128" t="n">
        <v>0</v>
      </c>
      <c r="AF40" s="128" t="n">
        <v>0</v>
      </c>
      <c r="AG40" s="128" t="n">
        <v>0</v>
      </c>
      <c r="AH40" s="128" t="n">
        <v>0</v>
      </c>
      <c r="AI40" s="128" t="n">
        <v>0</v>
      </c>
      <c r="AJ40" s="128" t="n">
        <v>0</v>
      </c>
      <c r="AK40" s="128" t="n">
        <v>0</v>
      </c>
      <c r="AL40" s="128" t="n">
        <v>0</v>
      </c>
      <c r="AM40" s="128" t="n">
        <v>0</v>
      </c>
      <c r="AN40" s="128" t="n">
        <v>0</v>
      </c>
      <c r="AO40" s="128" t="n">
        <v>0</v>
      </c>
      <c r="AP40" s="128" t="n">
        <v>0</v>
      </c>
      <c r="AQ40" s="128" t="n">
        <v>0</v>
      </c>
      <c r="AS40" s="129">
        <f>IF(SUM('03_Colocation_Calc'!$T$40:$AC$40)&gt;0,1,0)</f>
        <v/>
      </c>
    </row>
    <row r="41" ht="16" customHeight="1">
      <c r="A41" s="126" t="inlineStr">
        <is>
          <t>falco</t>
        </is>
      </c>
      <c r="B41" s="126" t="inlineStr">
        <is>
          <t>Falco (Runtime Security Monitoring, ต่อ Node)</t>
        </is>
      </c>
      <c r="C41" s="128" t="n">
        <v>0</v>
      </c>
      <c r="D41" s="128" t="n">
        <v>0</v>
      </c>
      <c r="E41" s="128" t="n">
        <v>0</v>
      </c>
      <c r="F41" s="128" t="n">
        <v>0</v>
      </c>
      <c r="G41" s="128" t="n">
        <v>0</v>
      </c>
      <c r="H41" s="128" t="n">
        <v>0</v>
      </c>
      <c r="I41" s="128" t="n">
        <v>0</v>
      </c>
      <c r="J41" s="128" t="n">
        <v>0</v>
      </c>
      <c r="K41" s="128" t="n">
        <v>0</v>
      </c>
      <c r="L41" s="128" t="n">
        <v>0</v>
      </c>
      <c r="M41" s="128" t="n">
        <v>0</v>
      </c>
      <c r="N41" s="128" t="n">
        <v>0</v>
      </c>
      <c r="O41" s="128" t="n">
        <v>0</v>
      </c>
      <c r="P41" s="128" t="n">
        <v>0</v>
      </c>
      <c r="Q41" s="128" t="n">
        <v>0</v>
      </c>
      <c r="R41" s="128" t="n">
        <v>0</v>
      </c>
      <c r="S41" s="128" t="n">
        <v>0</v>
      </c>
      <c r="T41" s="128" t="n">
        <v>0</v>
      </c>
      <c r="U41" s="128" t="n">
        <v>0</v>
      </c>
      <c r="V41" s="128" t="n">
        <v>0</v>
      </c>
      <c r="W41" s="128" t="n">
        <v>0</v>
      </c>
      <c r="X41" s="128" t="n">
        <v>0</v>
      </c>
      <c r="Y41" s="128" t="n">
        <v>0</v>
      </c>
      <c r="Z41" s="128" t="n">
        <v>0</v>
      </c>
      <c r="AA41" s="127" t="n">
        <v>1</v>
      </c>
      <c r="AB41" s="128" t="n">
        <v>0</v>
      </c>
      <c r="AC41" s="128" t="n">
        <v>0</v>
      </c>
      <c r="AD41" s="128" t="n">
        <v>0</v>
      </c>
      <c r="AE41" s="127" t="n">
        <v>1</v>
      </c>
      <c r="AF41" s="128" t="n">
        <v>0</v>
      </c>
      <c r="AG41" s="128" t="n">
        <v>0</v>
      </c>
      <c r="AH41" s="128" t="n">
        <v>0</v>
      </c>
      <c r="AI41" s="128" t="n">
        <v>0</v>
      </c>
      <c r="AJ41" s="128" t="n">
        <v>0</v>
      </c>
      <c r="AK41" s="128" t="n">
        <v>0</v>
      </c>
      <c r="AL41" s="128" t="n">
        <v>0</v>
      </c>
      <c r="AM41" s="128" t="n">
        <v>0</v>
      </c>
      <c r="AN41" s="128" t="n">
        <v>0</v>
      </c>
      <c r="AO41" s="128" t="n">
        <v>0</v>
      </c>
      <c r="AP41" s="128" t="n">
        <v>0</v>
      </c>
      <c r="AQ41" s="128" t="n">
        <v>0</v>
      </c>
      <c r="AS41" s="129">
        <f>IF(SUM('03_Colocation_Calc'!$T$41:$AC$41)&gt;0,1,0)</f>
        <v/>
      </c>
    </row>
    <row r="42" ht="16" customHeight="1">
      <c r="A42" s="126" t="inlineStr">
        <is>
          <t>prometheus</t>
        </is>
      </c>
      <c r="B42" s="126" t="inlineStr">
        <is>
          <t>Prometheus (Metrics &amp; Alerting)</t>
        </is>
      </c>
      <c r="C42" s="128" t="n">
        <v>0</v>
      </c>
      <c r="D42" s="128" t="n">
        <v>0</v>
      </c>
      <c r="E42" s="128" t="n">
        <v>0</v>
      </c>
      <c r="F42" s="128" t="n">
        <v>0</v>
      </c>
      <c r="G42" s="128" t="n">
        <v>0</v>
      </c>
      <c r="H42" s="128" t="n">
        <v>0</v>
      </c>
      <c r="I42" s="128" t="n">
        <v>0</v>
      </c>
      <c r="J42" s="128" t="n">
        <v>0</v>
      </c>
      <c r="K42" s="128" t="n">
        <v>0</v>
      </c>
      <c r="L42" s="128" t="n">
        <v>0</v>
      </c>
      <c r="M42" s="128" t="n">
        <v>0</v>
      </c>
      <c r="N42" s="128" t="n">
        <v>0</v>
      </c>
      <c r="O42" s="128" t="n">
        <v>0</v>
      </c>
      <c r="P42" s="128" t="n">
        <v>0</v>
      </c>
      <c r="Q42" s="128" t="n">
        <v>0</v>
      </c>
      <c r="R42" s="128" t="n">
        <v>0</v>
      </c>
      <c r="S42" s="128" t="n">
        <v>0</v>
      </c>
      <c r="T42" s="128" t="n">
        <v>0</v>
      </c>
      <c r="U42" s="128" t="n">
        <v>0</v>
      </c>
      <c r="V42" s="128" t="n">
        <v>0</v>
      </c>
      <c r="W42" s="128" t="n">
        <v>0</v>
      </c>
      <c r="X42" s="128" t="n">
        <v>0</v>
      </c>
      <c r="Y42" s="128" t="n">
        <v>0</v>
      </c>
      <c r="Z42" s="128" t="n">
        <v>0</v>
      </c>
      <c r="AA42" s="127" t="n">
        <v>1</v>
      </c>
      <c r="AB42" s="128" t="n">
        <v>0</v>
      </c>
      <c r="AC42" s="128" t="n">
        <v>0</v>
      </c>
      <c r="AD42" s="128" t="n">
        <v>0</v>
      </c>
      <c r="AE42" s="128" t="n">
        <v>0</v>
      </c>
      <c r="AF42" s="127" t="n">
        <v>1</v>
      </c>
      <c r="AG42" s="128" t="n">
        <v>0</v>
      </c>
      <c r="AH42" s="128" t="n">
        <v>0</v>
      </c>
      <c r="AI42" s="128" t="n">
        <v>0</v>
      </c>
      <c r="AJ42" s="128" t="n">
        <v>0</v>
      </c>
      <c r="AK42" s="128" t="n">
        <v>0</v>
      </c>
      <c r="AL42" s="128" t="n">
        <v>0</v>
      </c>
      <c r="AM42" s="128" t="n">
        <v>0</v>
      </c>
      <c r="AN42" s="128" t="n">
        <v>0</v>
      </c>
      <c r="AO42" s="128" t="n">
        <v>0</v>
      </c>
      <c r="AP42" s="128" t="n">
        <v>0</v>
      </c>
      <c r="AQ42" s="127" t="n">
        <v>1</v>
      </c>
      <c r="AS42" s="129">
        <f>IF(SUM('03_Colocation_Calc'!$T$42:$AC$42)&gt;0,1,0)</f>
        <v/>
      </c>
    </row>
    <row r="43" ht="16" customHeight="1">
      <c r="A43" s="126" t="inlineStr">
        <is>
          <t>grafana</t>
        </is>
      </c>
      <c r="B43" s="126" t="inlineStr">
        <is>
          <t>Grafana (Dashboard)</t>
        </is>
      </c>
      <c r="C43" s="128" t="n">
        <v>0</v>
      </c>
      <c r="D43" s="128" t="n">
        <v>0</v>
      </c>
      <c r="E43" s="128" t="n">
        <v>0</v>
      </c>
      <c r="F43" s="128" t="n">
        <v>0</v>
      </c>
      <c r="G43" s="128" t="n">
        <v>0</v>
      </c>
      <c r="H43" s="128" t="n">
        <v>0</v>
      </c>
      <c r="I43" s="128" t="n">
        <v>0</v>
      </c>
      <c r="J43" s="128" t="n">
        <v>0</v>
      </c>
      <c r="K43" s="128" t="n">
        <v>0</v>
      </c>
      <c r="L43" s="128" t="n">
        <v>0</v>
      </c>
      <c r="M43" s="128" t="n">
        <v>0</v>
      </c>
      <c r="N43" s="128" t="n">
        <v>0</v>
      </c>
      <c r="O43" s="128" t="n">
        <v>0</v>
      </c>
      <c r="P43" s="128" t="n">
        <v>0</v>
      </c>
      <c r="Q43" s="128" t="n">
        <v>0</v>
      </c>
      <c r="R43" s="128" t="n">
        <v>0</v>
      </c>
      <c r="S43" s="128" t="n">
        <v>0</v>
      </c>
      <c r="T43" s="128" t="n">
        <v>0</v>
      </c>
      <c r="U43" s="128" t="n">
        <v>0</v>
      </c>
      <c r="V43" s="128" t="n">
        <v>0</v>
      </c>
      <c r="W43" s="128" t="n">
        <v>0</v>
      </c>
      <c r="X43" s="128" t="n">
        <v>0</v>
      </c>
      <c r="Y43" s="128" t="n">
        <v>0</v>
      </c>
      <c r="Z43" s="128" t="n">
        <v>0</v>
      </c>
      <c r="AA43" s="128" t="n">
        <v>0</v>
      </c>
      <c r="AB43" s="128" t="n">
        <v>0</v>
      </c>
      <c r="AC43" s="128" t="n">
        <v>0</v>
      </c>
      <c r="AD43" s="128" t="n">
        <v>0</v>
      </c>
      <c r="AE43" s="128" t="n">
        <v>0</v>
      </c>
      <c r="AF43" s="127" t="n">
        <v>1</v>
      </c>
      <c r="AG43" s="128" t="n">
        <v>0</v>
      </c>
      <c r="AH43" s="128" t="n">
        <v>0</v>
      </c>
      <c r="AI43" s="128" t="n">
        <v>0</v>
      </c>
      <c r="AJ43" s="128" t="n">
        <v>0</v>
      </c>
      <c r="AK43" s="128" t="n">
        <v>0</v>
      </c>
      <c r="AL43" s="128" t="n">
        <v>0</v>
      </c>
      <c r="AM43" s="128" t="n">
        <v>0</v>
      </c>
      <c r="AN43" s="128" t="n">
        <v>0</v>
      </c>
      <c r="AO43" s="128" t="n">
        <v>0</v>
      </c>
      <c r="AP43" s="128" t="n">
        <v>0</v>
      </c>
      <c r="AQ43" s="128" t="n">
        <v>0</v>
      </c>
      <c r="AS43" s="129">
        <f>IF(SUM('03_Colocation_Calc'!$T$43:$AC$43)&gt;0,1,0)</f>
        <v/>
      </c>
    </row>
    <row r="44" ht="16" customHeight="1">
      <c r="A44" s="126" t="inlineStr">
        <is>
          <t>zabbix</t>
        </is>
      </c>
      <c r="B44" s="126" t="inlineStr">
        <is>
          <t>Zabbix Server (Infrastructure Monitoring)</t>
        </is>
      </c>
      <c r="C44" s="128" t="n">
        <v>0</v>
      </c>
      <c r="D44" s="128" t="n">
        <v>0</v>
      </c>
      <c r="E44" s="128" t="n">
        <v>0</v>
      </c>
      <c r="F44" s="128" t="n">
        <v>0</v>
      </c>
      <c r="G44" s="128" t="n">
        <v>0</v>
      </c>
      <c r="H44" s="128" t="n">
        <v>0</v>
      </c>
      <c r="I44" s="128" t="n">
        <v>0</v>
      </c>
      <c r="J44" s="128" t="n">
        <v>0</v>
      </c>
      <c r="K44" s="128" t="n">
        <v>0</v>
      </c>
      <c r="L44" s="128" t="n">
        <v>0</v>
      </c>
      <c r="M44" s="128" t="n">
        <v>0</v>
      </c>
      <c r="N44" s="128" t="n">
        <v>0</v>
      </c>
      <c r="O44" s="128" t="n">
        <v>0</v>
      </c>
      <c r="P44" s="128" t="n">
        <v>0</v>
      </c>
      <c r="Q44" s="128" t="n">
        <v>0</v>
      </c>
      <c r="R44" s="128" t="n">
        <v>0</v>
      </c>
      <c r="S44" s="128" t="n">
        <v>0</v>
      </c>
      <c r="T44" s="128" t="n">
        <v>0</v>
      </c>
      <c r="U44" s="128" t="n">
        <v>0</v>
      </c>
      <c r="V44" s="128" t="n">
        <v>0</v>
      </c>
      <c r="W44" s="128" t="n">
        <v>0</v>
      </c>
      <c r="X44" s="128" t="n">
        <v>0</v>
      </c>
      <c r="Y44" s="128" t="n">
        <v>0</v>
      </c>
      <c r="Z44" s="128" t="n">
        <v>0</v>
      </c>
      <c r="AA44" s="127" t="n">
        <v>1</v>
      </c>
      <c r="AB44" s="128" t="n">
        <v>0</v>
      </c>
      <c r="AC44" s="128" t="n">
        <v>0</v>
      </c>
      <c r="AD44" s="128" t="n">
        <v>0</v>
      </c>
      <c r="AE44" s="128" t="n">
        <v>0</v>
      </c>
      <c r="AF44" s="127" t="n">
        <v>1</v>
      </c>
      <c r="AG44" s="128" t="n">
        <v>0</v>
      </c>
      <c r="AH44" s="128" t="n">
        <v>0</v>
      </c>
      <c r="AI44" s="128" t="n">
        <v>0</v>
      </c>
      <c r="AJ44" s="128" t="n">
        <v>0</v>
      </c>
      <c r="AK44" s="128" t="n">
        <v>0</v>
      </c>
      <c r="AL44" s="128" t="n">
        <v>0</v>
      </c>
      <c r="AM44" s="128" t="n">
        <v>0</v>
      </c>
      <c r="AN44" s="128" t="n">
        <v>0</v>
      </c>
      <c r="AO44" s="128" t="n">
        <v>0</v>
      </c>
      <c r="AP44" s="128" t="n">
        <v>0</v>
      </c>
      <c r="AQ44" s="127" t="n">
        <v>1</v>
      </c>
      <c r="AS44" s="129">
        <f>IF(SUM('03_Colocation_Calc'!$T$44:$AC$44)&gt;0,1,0)</f>
        <v/>
      </c>
    </row>
    <row r="45" ht="16" customHeight="1">
      <c r="A45" s="126" t="inlineStr">
        <is>
          <t>ansible-chef</t>
        </is>
      </c>
      <c r="B45" s="126" t="inlineStr">
        <is>
          <t>Ansible / Chef Client (Config Management &amp; Hardening)</t>
        </is>
      </c>
      <c r="C45" s="128" t="n">
        <v>0</v>
      </c>
      <c r="D45" s="128" t="n">
        <v>0</v>
      </c>
      <c r="E45" s="128" t="n">
        <v>0</v>
      </c>
      <c r="F45" s="128" t="n">
        <v>0</v>
      </c>
      <c r="G45" s="128" t="n">
        <v>0</v>
      </c>
      <c r="H45" s="128" t="n">
        <v>0</v>
      </c>
      <c r="I45" s="128" t="n">
        <v>0</v>
      </c>
      <c r="J45" s="128" t="n">
        <v>0</v>
      </c>
      <c r="K45" s="128" t="n">
        <v>0</v>
      </c>
      <c r="L45" s="128" t="n">
        <v>0</v>
      </c>
      <c r="M45" s="128" t="n">
        <v>0</v>
      </c>
      <c r="N45" s="128" t="n">
        <v>0</v>
      </c>
      <c r="O45" s="127" t="n">
        <v>1</v>
      </c>
      <c r="P45" s="128" t="n">
        <v>0</v>
      </c>
      <c r="Q45" s="128" t="n">
        <v>0</v>
      </c>
      <c r="R45" s="128" t="n">
        <v>0</v>
      </c>
      <c r="S45" s="128" t="n">
        <v>0</v>
      </c>
      <c r="T45" s="128" t="n">
        <v>0</v>
      </c>
      <c r="U45" s="128" t="n">
        <v>0</v>
      </c>
      <c r="V45" s="128" t="n">
        <v>0</v>
      </c>
      <c r="W45" s="128" t="n">
        <v>0</v>
      </c>
      <c r="X45" s="128" t="n">
        <v>0</v>
      </c>
      <c r="Y45" s="128" t="n">
        <v>0</v>
      </c>
      <c r="Z45" s="128" t="n">
        <v>0</v>
      </c>
      <c r="AA45" s="128" t="n">
        <v>0</v>
      </c>
      <c r="AB45" s="128" t="n">
        <v>0</v>
      </c>
      <c r="AC45" s="128" t="n">
        <v>0</v>
      </c>
      <c r="AD45" s="128" t="n">
        <v>0</v>
      </c>
      <c r="AE45" s="128" t="n">
        <v>0</v>
      </c>
      <c r="AF45" s="128" t="n">
        <v>0</v>
      </c>
      <c r="AG45" s="128" t="n">
        <v>0</v>
      </c>
      <c r="AH45" s="127" t="n">
        <v>1</v>
      </c>
      <c r="AI45" s="128" t="n">
        <v>0</v>
      </c>
      <c r="AJ45" s="128" t="n">
        <v>0</v>
      </c>
      <c r="AK45" s="128" t="n">
        <v>0</v>
      </c>
      <c r="AL45" s="128" t="n">
        <v>0</v>
      </c>
      <c r="AM45" s="127" t="n">
        <v>1</v>
      </c>
      <c r="AN45" s="128" t="n">
        <v>0</v>
      </c>
      <c r="AO45" s="128" t="n">
        <v>0</v>
      </c>
      <c r="AP45" s="128" t="n">
        <v>0</v>
      </c>
      <c r="AQ45" s="128" t="n">
        <v>0</v>
      </c>
      <c r="AS45" s="129">
        <f>IF(SUM('03_Colocation_Calc'!$T$45:$AC$45)&gt;0,1,0)</f>
        <v/>
      </c>
    </row>
    <row r="46" ht="16" customHeight="1">
      <c r="A46" s="126" t="inlineStr">
        <is>
          <t>modsecurity</t>
        </is>
      </c>
      <c r="B46" s="126" t="inlineStr">
        <is>
          <t>ModSecurity / Coraza (Web Application Firewall)</t>
        </is>
      </c>
      <c r="C46" s="128" t="n">
        <v>0</v>
      </c>
      <c r="D46" s="128" t="n">
        <v>0</v>
      </c>
      <c r="E46" s="128" t="n">
        <v>0</v>
      </c>
      <c r="F46" s="128" t="n">
        <v>0</v>
      </c>
      <c r="G46" s="128" t="n">
        <v>0</v>
      </c>
      <c r="H46" s="128" t="n">
        <v>0</v>
      </c>
      <c r="I46" s="128" t="n">
        <v>0</v>
      </c>
      <c r="J46" s="128" t="n">
        <v>0</v>
      </c>
      <c r="K46" s="128" t="n">
        <v>0</v>
      </c>
      <c r="L46" s="128" t="n">
        <v>0</v>
      </c>
      <c r="M46" s="128" t="n">
        <v>0</v>
      </c>
      <c r="N46" s="128" t="n">
        <v>0</v>
      </c>
      <c r="O46" s="128" t="n">
        <v>0</v>
      </c>
      <c r="P46" s="128" t="n">
        <v>0</v>
      </c>
      <c r="Q46" s="128" t="n">
        <v>0</v>
      </c>
      <c r="R46" s="128" t="n">
        <v>0</v>
      </c>
      <c r="S46" s="128" t="n">
        <v>0</v>
      </c>
      <c r="T46" s="128" t="n">
        <v>0</v>
      </c>
      <c r="U46" s="128" t="n">
        <v>0</v>
      </c>
      <c r="V46" s="128" t="n">
        <v>0</v>
      </c>
      <c r="W46" s="128" t="n">
        <v>0</v>
      </c>
      <c r="X46" s="128" t="n">
        <v>0</v>
      </c>
      <c r="Y46" s="128" t="n">
        <v>0</v>
      </c>
      <c r="Z46" s="128" t="n">
        <v>0</v>
      </c>
      <c r="AA46" s="128" t="n">
        <v>0</v>
      </c>
      <c r="AB46" s="128" t="n">
        <v>0</v>
      </c>
      <c r="AC46" s="128" t="n">
        <v>0</v>
      </c>
      <c r="AD46" s="128" t="n">
        <v>0</v>
      </c>
      <c r="AE46" s="128" t="n">
        <v>0</v>
      </c>
      <c r="AF46" s="128" t="n">
        <v>0</v>
      </c>
      <c r="AG46" s="128" t="n">
        <v>0</v>
      </c>
      <c r="AH46" s="128" t="n">
        <v>0</v>
      </c>
      <c r="AI46" s="127" t="n">
        <v>1</v>
      </c>
      <c r="AJ46" s="127" t="n">
        <v>1</v>
      </c>
      <c r="AK46" s="128" t="n">
        <v>0</v>
      </c>
      <c r="AL46" s="128" t="n">
        <v>0</v>
      </c>
      <c r="AM46" s="128" t="n">
        <v>0</v>
      </c>
      <c r="AN46" s="128" t="n">
        <v>0</v>
      </c>
      <c r="AO46" s="128" t="n">
        <v>0</v>
      </c>
      <c r="AP46" s="128" t="n">
        <v>0</v>
      </c>
      <c r="AQ46" s="128" t="n">
        <v>0</v>
      </c>
      <c r="AS46" s="129">
        <f>IF(SUM('03_Colocation_Calc'!$T$46:$AC$46)&gt;0,1,0)</f>
        <v/>
      </c>
    </row>
    <row r="47" ht="16" customHeight="1">
      <c r="A47" s="126" t="inlineStr">
        <is>
          <t>keycloak</t>
        </is>
      </c>
      <c r="B47" s="126" t="inlineStr">
        <is>
          <t>Keycloak (SSO / MFA / Identity)</t>
        </is>
      </c>
      <c r="C47" s="128" t="n">
        <v>0</v>
      </c>
      <c r="D47" s="128" t="n">
        <v>0</v>
      </c>
      <c r="E47" s="128" t="n">
        <v>0</v>
      </c>
      <c r="F47" s="128" t="n">
        <v>0</v>
      </c>
      <c r="G47" s="128" t="n">
        <v>0</v>
      </c>
      <c r="H47" s="128" t="n">
        <v>0</v>
      </c>
      <c r="I47" s="128" t="n">
        <v>0</v>
      </c>
      <c r="J47" s="128" t="n">
        <v>0</v>
      </c>
      <c r="K47" s="128" t="n">
        <v>0</v>
      </c>
      <c r="L47" s="128" t="n">
        <v>0</v>
      </c>
      <c r="M47" s="128" t="n">
        <v>0</v>
      </c>
      <c r="N47" s="128" t="n">
        <v>0</v>
      </c>
      <c r="O47" s="128" t="n">
        <v>0</v>
      </c>
      <c r="P47" s="128" t="n">
        <v>0</v>
      </c>
      <c r="Q47" s="128" t="n">
        <v>0</v>
      </c>
      <c r="R47" s="128" t="n">
        <v>0</v>
      </c>
      <c r="S47" s="128" t="n">
        <v>0</v>
      </c>
      <c r="T47" s="128" t="n">
        <v>0</v>
      </c>
      <c r="U47" s="128" t="n">
        <v>0</v>
      </c>
      <c r="V47" s="128" t="n">
        <v>0</v>
      </c>
      <c r="W47" s="128" t="n">
        <v>0</v>
      </c>
      <c r="X47" s="128" t="n">
        <v>0</v>
      </c>
      <c r="Y47" s="127" t="n">
        <v>1</v>
      </c>
      <c r="Z47" s="128" t="n">
        <v>0</v>
      </c>
      <c r="AA47" s="128" t="n">
        <v>0</v>
      </c>
      <c r="AB47" s="128" t="n">
        <v>0</v>
      </c>
      <c r="AC47" s="128" t="n">
        <v>0</v>
      </c>
      <c r="AD47" s="128" t="n">
        <v>0</v>
      </c>
      <c r="AE47" s="128" t="n">
        <v>0</v>
      </c>
      <c r="AF47" s="128" t="n">
        <v>0</v>
      </c>
      <c r="AG47" s="128" t="n">
        <v>0</v>
      </c>
      <c r="AH47" s="128" t="n">
        <v>0</v>
      </c>
      <c r="AI47" s="128" t="n">
        <v>0</v>
      </c>
      <c r="AJ47" s="128" t="n">
        <v>0</v>
      </c>
      <c r="AK47" s="128" t="n">
        <v>0</v>
      </c>
      <c r="AL47" s="128" t="n">
        <v>0</v>
      </c>
      <c r="AM47" s="128" t="n">
        <v>0</v>
      </c>
      <c r="AN47" s="127" t="n">
        <v>1</v>
      </c>
      <c r="AO47" s="128" t="n">
        <v>0</v>
      </c>
      <c r="AP47" s="128" t="n">
        <v>0</v>
      </c>
      <c r="AQ47" s="128" t="n">
        <v>0</v>
      </c>
      <c r="AS47" s="129">
        <f>IF(SUM('03_Colocation_Calc'!$T$47:$AC$47)&gt;0,1,0)</f>
        <v/>
      </c>
    </row>
    <row r="48" ht="16" customHeight="1">
      <c r="A48" s="126" t="inlineStr">
        <is>
          <t>velero-restic</t>
        </is>
      </c>
      <c r="B48" s="126" t="inlineStr">
        <is>
          <t>Velero / restic / pgBackRest (Backup &amp; DR)</t>
        </is>
      </c>
      <c r="C48" s="128" t="n">
        <v>0</v>
      </c>
      <c r="D48" s="128" t="n">
        <v>0</v>
      </c>
      <c r="E48" s="128" t="n">
        <v>0</v>
      </c>
      <c r="F48" s="128" t="n">
        <v>0</v>
      </c>
      <c r="G48" s="128" t="n">
        <v>0</v>
      </c>
      <c r="H48" s="128" t="n">
        <v>0</v>
      </c>
      <c r="I48" s="128" t="n">
        <v>0</v>
      </c>
      <c r="J48" s="128" t="n">
        <v>0</v>
      </c>
      <c r="K48" s="128" t="n">
        <v>0</v>
      </c>
      <c r="L48" s="128" t="n">
        <v>0</v>
      </c>
      <c r="M48" s="128" t="n">
        <v>0</v>
      </c>
      <c r="N48" s="128" t="n">
        <v>0</v>
      </c>
      <c r="O48" s="128" t="n">
        <v>0</v>
      </c>
      <c r="P48" s="128" t="n">
        <v>0</v>
      </c>
      <c r="Q48" s="128" t="n">
        <v>0</v>
      </c>
      <c r="R48" s="128" t="n">
        <v>0</v>
      </c>
      <c r="S48" s="128" t="n">
        <v>0</v>
      </c>
      <c r="T48" s="128" t="n">
        <v>0</v>
      </c>
      <c r="U48" s="128" t="n">
        <v>0</v>
      </c>
      <c r="V48" s="128" t="n">
        <v>0</v>
      </c>
      <c r="W48" s="128" t="n">
        <v>0</v>
      </c>
      <c r="X48" s="128" t="n">
        <v>0</v>
      </c>
      <c r="Y48" s="128" t="n">
        <v>0</v>
      </c>
      <c r="Z48" s="128" t="n">
        <v>0</v>
      </c>
      <c r="AA48" s="128" t="n">
        <v>0</v>
      </c>
      <c r="AB48" s="128" t="n">
        <v>0</v>
      </c>
      <c r="AC48" s="128" t="n">
        <v>0</v>
      </c>
      <c r="AD48" s="128" t="n">
        <v>0</v>
      </c>
      <c r="AE48" s="128" t="n">
        <v>0</v>
      </c>
      <c r="AF48" s="128" t="n">
        <v>0</v>
      </c>
      <c r="AG48" s="128" t="n">
        <v>0</v>
      </c>
      <c r="AH48" s="128" t="n">
        <v>0</v>
      </c>
      <c r="AI48" s="128" t="n">
        <v>0</v>
      </c>
      <c r="AJ48" s="128" t="n">
        <v>0</v>
      </c>
      <c r="AK48" s="128" t="n">
        <v>0</v>
      </c>
      <c r="AL48" s="128" t="n">
        <v>0</v>
      </c>
      <c r="AM48" s="127" t="n">
        <v>1</v>
      </c>
      <c r="AN48" s="128" t="n">
        <v>0</v>
      </c>
      <c r="AO48" s="128" t="n">
        <v>0</v>
      </c>
      <c r="AP48" s="128" t="n">
        <v>0</v>
      </c>
      <c r="AQ48" s="128" t="n">
        <v>0</v>
      </c>
      <c r="AS48" s="129">
        <f>IF(SUM('03_Colocation_Calc'!$T$48:$AC$48)&gt;0,1,0)</f>
        <v/>
      </c>
    </row>
    <row r="49" ht="16" customHeight="1">
      <c r="A49" s="126" t="inlineStr">
        <is>
          <t>prowler</t>
        </is>
      </c>
      <c r="B49" s="126" t="inlineStr">
        <is>
          <t>Prowler / ScoutSuite (Cloud &amp; Infra Posture Scan)</t>
        </is>
      </c>
      <c r="C49" s="128" t="n">
        <v>0</v>
      </c>
      <c r="D49" s="128" t="n">
        <v>0</v>
      </c>
      <c r="E49" s="128" t="n">
        <v>0</v>
      </c>
      <c r="F49" s="128" t="n">
        <v>0</v>
      </c>
      <c r="G49" s="128" t="n">
        <v>0</v>
      </c>
      <c r="H49" s="128" t="n">
        <v>0</v>
      </c>
      <c r="I49" s="128" t="n">
        <v>0</v>
      </c>
      <c r="J49" s="128" t="n">
        <v>0</v>
      </c>
      <c r="K49" s="128" t="n">
        <v>0</v>
      </c>
      <c r="L49" s="128" t="n">
        <v>0</v>
      </c>
      <c r="M49" s="128" t="n">
        <v>0</v>
      </c>
      <c r="N49" s="128" t="n">
        <v>0</v>
      </c>
      <c r="O49" s="127" t="n">
        <v>1</v>
      </c>
      <c r="P49" s="128" t="n">
        <v>0</v>
      </c>
      <c r="Q49" s="128" t="n">
        <v>0</v>
      </c>
      <c r="R49" s="128" t="n">
        <v>0</v>
      </c>
      <c r="S49" s="128" t="n">
        <v>0</v>
      </c>
      <c r="T49" s="128" t="n">
        <v>0</v>
      </c>
      <c r="U49" s="128" t="n">
        <v>0</v>
      </c>
      <c r="V49" s="128" t="n">
        <v>0</v>
      </c>
      <c r="W49" s="128" t="n">
        <v>0</v>
      </c>
      <c r="X49" s="128" t="n">
        <v>0</v>
      </c>
      <c r="Y49" s="128" t="n">
        <v>0</v>
      </c>
      <c r="Z49" s="128" t="n">
        <v>0</v>
      </c>
      <c r="AA49" s="128" t="n">
        <v>0</v>
      </c>
      <c r="AB49" s="128" t="n">
        <v>0</v>
      </c>
      <c r="AC49" s="128" t="n">
        <v>0</v>
      </c>
      <c r="AD49" s="128" t="n">
        <v>0</v>
      </c>
      <c r="AE49" s="128" t="n">
        <v>0</v>
      </c>
      <c r="AF49" s="128" t="n">
        <v>0</v>
      </c>
      <c r="AG49" s="128" t="n">
        <v>0</v>
      </c>
      <c r="AH49" s="127" t="n">
        <v>1</v>
      </c>
      <c r="AI49" s="128" t="n">
        <v>0</v>
      </c>
      <c r="AJ49" s="128" t="n">
        <v>0</v>
      </c>
      <c r="AK49" s="128" t="n">
        <v>0</v>
      </c>
      <c r="AL49" s="127" t="n">
        <v>1</v>
      </c>
      <c r="AM49" s="128" t="n">
        <v>0</v>
      </c>
      <c r="AN49" s="128" t="n">
        <v>0</v>
      </c>
      <c r="AO49" s="128" t="n">
        <v>0</v>
      </c>
      <c r="AP49" s="128" t="n">
        <v>0</v>
      </c>
      <c r="AQ49" s="128" t="n">
        <v>0</v>
      </c>
      <c r="AS49" s="129">
        <f>IF(SUM('03_Colocation_Calc'!$T$49:$AC$49)&gt;0,1,0)</f>
        <v/>
      </c>
    </row>
    <row r="50" ht="16" customHeight="1">
      <c r="A50" s="126" t="inlineStr">
        <is>
          <t>mlflow</t>
        </is>
      </c>
      <c r="B50" s="126" t="inlineStr">
        <is>
          <t>MLflow (Experiment Tracking + Model Registry)</t>
        </is>
      </c>
      <c r="C50" s="128" t="n">
        <v>0</v>
      </c>
      <c r="D50" s="128" t="n">
        <v>0</v>
      </c>
      <c r="E50" s="128" t="n">
        <v>0</v>
      </c>
      <c r="F50" s="128" t="n">
        <v>0</v>
      </c>
      <c r="G50" s="128" t="n">
        <v>0</v>
      </c>
      <c r="H50" s="128" t="n">
        <v>0</v>
      </c>
      <c r="I50" s="128" t="n">
        <v>0</v>
      </c>
      <c r="J50" s="128" t="n">
        <v>0</v>
      </c>
      <c r="K50" s="128" t="n">
        <v>0</v>
      </c>
      <c r="L50" s="128" t="n">
        <v>0</v>
      </c>
      <c r="M50" s="128" t="n">
        <v>0</v>
      </c>
      <c r="N50" s="128" t="n">
        <v>0</v>
      </c>
      <c r="O50" s="128" t="n">
        <v>0</v>
      </c>
      <c r="P50" s="127" t="n">
        <v>1</v>
      </c>
      <c r="Q50" s="128" t="n">
        <v>0</v>
      </c>
      <c r="R50" s="128" t="n">
        <v>0</v>
      </c>
      <c r="S50" s="128" t="n">
        <v>0</v>
      </c>
      <c r="T50" s="128" t="n">
        <v>0</v>
      </c>
      <c r="U50" s="128" t="n">
        <v>0</v>
      </c>
      <c r="V50" s="127" t="n">
        <v>1</v>
      </c>
      <c r="W50" s="127" t="n">
        <v>1</v>
      </c>
      <c r="X50" s="128" t="n">
        <v>0</v>
      </c>
      <c r="Y50" s="127" t="n">
        <v>1</v>
      </c>
      <c r="Z50" s="128" t="n">
        <v>0</v>
      </c>
      <c r="AA50" s="128" t="n">
        <v>0</v>
      </c>
      <c r="AB50" s="128" t="n">
        <v>0</v>
      </c>
      <c r="AC50" s="128" t="n">
        <v>0</v>
      </c>
      <c r="AD50" s="128" t="n">
        <v>0</v>
      </c>
      <c r="AE50" s="128" t="n">
        <v>0</v>
      </c>
      <c r="AF50" s="128" t="n">
        <v>0</v>
      </c>
      <c r="AG50" s="128" t="n">
        <v>0</v>
      </c>
      <c r="AH50" s="128" t="n">
        <v>0</v>
      </c>
      <c r="AI50" s="128" t="n">
        <v>0</v>
      </c>
      <c r="AJ50" s="128" t="n">
        <v>0</v>
      </c>
      <c r="AK50" s="128" t="n">
        <v>0</v>
      </c>
      <c r="AL50" s="128" t="n">
        <v>0</v>
      </c>
      <c r="AM50" s="128" t="n">
        <v>0</v>
      </c>
      <c r="AN50" s="128" t="n">
        <v>0</v>
      </c>
      <c r="AO50" s="128" t="n">
        <v>0</v>
      </c>
      <c r="AP50" s="128" t="n">
        <v>0</v>
      </c>
      <c r="AQ50" s="128" t="n">
        <v>0</v>
      </c>
      <c r="AS50" s="129">
        <f>IF(SUM('03_Colocation_Calc'!$T$50:$AC$50)&gt;0,1,0)</f>
        <v/>
      </c>
    </row>
    <row r="51" ht="16" customHeight="1">
      <c r="A51" s="126" t="inlineStr">
        <is>
          <t>llm-eval</t>
        </is>
      </c>
      <c r="B51" s="126" t="inlineStr">
        <is>
          <t>LLM Evaluation Runner (AI/LLM Eval Harness)</t>
        </is>
      </c>
      <c r="C51" s="128" t="n">
        <v>0</v>
      </c>
      <c r="D51" s="128" t="n">
        <v>0</v>
      </c>
      <c r="E51" s="128" t="n">
        <v>0</v>
      </c>
      <c r="F51" s="128" t="n">
        <v>0</v>
      </c>
      <c r="G51" s="128" t="n">
        <v>0</v>
      </c>
      <c r="H51" s="128" t="n">
        <v>0</v>
      </c>
      <c r="I51" s="128" t="n">
        <v>0</v>
      </c>
      <c r="J51" s="128" t="n">
        <v>0</v>
      </c>
      <c r="K51" s="128" t="n">
        <v>0</v>
      </c>
      <c r="L51" s="128" t="n">
        <v>0</v>
      </c>
      <c r="M51" s="128" t="n">
        <v>0</v>
      </c>
      <c r="N51" s="128" t="n">
        <v>0</v>
      </c>
      <c r="O51" s="128" t="n">
        <v>0</v>
      </c>
      <c r="P51" s="128" t="n">
        <v>0</v>
      </c>
      <c r="Q51" s="127" t="n">
        <v>1</v>
      </c>
      <c r="R51" s="127" t="n">
        <v>1</v>
      </c>
      <c r="S51" s="128" t="n">
        <v>0</v>
      </c>
      <c r="T51" s="128" t="n">
        <v>0</v>
      </c>
      <c r="U51" s="128" t="n">
        <v>0</v>
      </c>
      <c r="V51" s="128" t="n">
        <v>0</v>
      </c>
      <c r="W51" s="128" t="n">
        <v>0</v>
      </c>
      <c r="X51" s="128" t="n">
        <v>0</v>
      </c>
      <c r="Y51" s="128" t="n">
        <v>0</v>
      </c>
      <c r="Z51" s="128" t="n">
        <v>0</v>
      </c>
      <c r="AA51" s="128" t="n">
        <v>0</v>
      </c>
      <c r="AB51" s="127" t="n">
        <v>1</v>
      </c>
      <c r="AC51" s="128" t="n">
        <v>0</v>
      </c>
      <c r="AD51" s="128" t="n">
        <v>0</v>
      </c>
      <c r="AE51" s="128" t="n">
        <v>0</v>
      </c>
      <c r="AF51" s="128" t="n">
        <v>0</v>
      </c>
      <c r="AG51" s="128" t="n">
        <v>0</v>
      </c>
      <c r="AH51" s="128" t="n">
        <v>0</v>
      </c>
      <c r="AI51" s="128" t="n">
        <v>0</v>
      </c>
      <c r="AJ51" s="128" t="n">
        <v>0</v>
      </c>
      <c r="AK51" s="128" t="n">
        <v>0</v>
      </c>
      <c r="AL51" s="128" t="n">
        <v>0</v>
      </c>
      <c r="AM51" s="128" t="n">
        <v>0</v>
      </c>
      <c r="AN51" s="128" t="n">
        <v>0</v>
      </c>
      <c r="AO51" s="128" t="n">
        <v>0</v>
      </c>
      <c r="AP51" s="128" t="n">
        <v>0</v>
      </c>
      <c r="AQ51" s="128" t="n">
        <v>0</v>
      </c>
      <c r="AS51" s="129">
        <f>IF(SUM('03_Colocation_Calc'!$T$51:$AC$51)&gt;0,1,0)</f>
        <v/>
      </c>
    </row>
    <row r="52" ht="16" customHeight="1">
      <c r="A52" s="126" t="inlineStr">
        <is>
          <t>gpu-training</t>
        </is>
      </c>
      <c r="B52" s="126" t="inlineStr">
        <is>
          <t>GPU Training Node (Model Training / Fine-tune)</t>
        </is>
      </c>
      <c r="C52" s="128" t="n">
        <v>0</v>
      </c>
      <c r="D52" s="128" t="n">
        <v>0</v>
      </c>
      <c r="E52" s="128" t="n">
        <v>0</v>
      </c>
      <c r="F52" s="128" t="n">
        <v>0</v>
      </c>
      <c r="G52" s="128" t="n">
        <v>0</v>
      </c>
      <c r="H52" s="128" t="n">
        <v>0</v>
      </c>
      <c r="I52" s="128" t="n">
        <v>0</v>
      </c>
      <c r="J52" s="128" t="n">
        <v>0</v>
      </c>
      <c r="K52" s="128" t="n">
        <v>0</v>
      </c>
      <c r="L52" s="127" t="n">
        <v>1</v>
      </c>
      <c r="M52" s="128" t="n">
        <v>0</v>
      </c>
      <c r="N52" s="128" t="n">
        <v>0</v>
      </c>
      <c r="O52" s="128" t="n">
        <v>0</v>
      </c>
      <c r="P52" s="128" t="n">
        <v>0</v>
      </c>
      <c r="Q52" s="128" t="n">
        <v>0</v>
      </c>
      <c r="R52" s="128" t="n">
        <v>0</v>
      </c>
      <c r="S52" s="128" t="n">
        <v>0</v>
      </c>
      <c r="T52" s="128" t="n">
        <v>0</v>
      </c>
      <c r="U52" s="128" t="n">
        <v>0</v>
      </c>
      <c r="V52" s="128" t="n">
        <v>0</v>
      </c>
      <c r="W52" s="128" t="n">
        <v>0</v>
      </c>
      <c r="X52" s="128" t="n">
        <v>0</v>
      </c>
      <c r="Y52" s="128" t="n">
        <v>0</v>
      </c>
      <c r="Z52" s="128" t="n">
        <v>0</v>
      </c>
      <c r="AA52" s="128" t="n">
        <v>0</v>
      </c>
      <c r="AB52" s="128" t="n">
        <v>0</v>
      </c>
      <c r="AC52" s="128" t="n">
        <v>0</v>
      </c>
      <c r="AD52" s="128" t="n">
        <v>0</v>
      </c>
      <c r="AE52" s="128" t="n">
        <v>0</v>
      </c>
      <c r="AF52" s="128" t="n">
        <v>0</v>
      </c>
      <c r="AG52" s="128" t="n">
        <v>0</v>
      </c>
      <c r="AH52" s="128" t="n">
        <v>0</v>
      </c>
      <c r="AI52" s="128" t="n">
        <v>0</v>
      </c>
      <c r="AJ52" s="128" t="n">
        <v>0</v>
      </c>
      <c r="AK52" s="128" t="n">
        <v>0</v>
      </c>
      <c r="AL52" s="128" t="n">
        <v>0</v>
      </c>
      <c r="AM52" s="128" t="n">
        <v>0</v>
      </c>
      <c r="AN52" s="128" t="n">
        <v>0</v>
      </c>
      <c r="AO52" s="128" t="n">
        <v>0</v>
      </c>
      <c r="AP52" s="128" t="n">
        <v>0</v>
      </c>
      <c r="AQ52" s="128" t="n">
        <v>0</v>
      </c>
      <c r="AS52" s="129">
        <f>IF(SUM('03_Colocation_Calc'!$T$52:$AC$52)&gt;0,1,0)</f>
        <v/>
      </c>
    </row>
    <row r="53" ht="16" customHeight="1">
      <c r="A53" s="126" t="inlineStr">
        <is>
          <t>redis</t>
        </is>
      </c>
      <c r="B53" s="126" t="inlineStr">
        <is>
          <t>Redis (Cache สำหรับเครื่องมือ CI/CD)</t>
        </is>
      </c>
      <c r="C53" s="128" t="n">
        <v>0</v>
      </c>
      <c r="D53" s="128" t="n">
        <v>0</v>
      </c>
      <c r="E53" s="128" t="n">
        <v>0</v>
      </c>
      <c r="F53" s="128" t="n">
        <v>0</v>
      </c>
      <c r="G53" s="128" t="n">
        <v>0</v>
      </c>
      <c r="H53" s="128" t="n">
        <v>0</v>
      </c>
      <c r="I53" s="128" t="n">
        <v>0</v>
      </c>
      <c r="J53" s="128" t="n">
        <v>0</v>
      </c>
      <c r="K53" s="128" t="n">
        <v>0</v>
      </c>
      <c r="L53" s="128" t="n">
        <v>0</v>
      </c>
      <c r="M53" s="128" t="n">
        <v>0</v>
      </c>
      <c r="N53" s="128" t="n">
        <v>0</v>
      </c>
      <c r="O53" s="128" t="n">
        <v>0</v>
      </c>
      <c r="P53" s="128" t="n">
        <v>0</v>
      </c>
      <c r="Q53" s="128" t="n">
        <v>0</v>
      </c>
      <c r="R53" s="128" t="n">
        <v>0</v>
      </c>
      <c r="S53" s="128" t="n">
        <v>0</v>
      </c>
      <c r="T53" s="128" t="n">
        <v>0</v>
      </c>
      <c r="U53" s="128" t="n">
        <v>0</v>
      </c>
      <c r="V53" s="128" t="n">
        <v>0</v>
      </c>
      <c r="W53" s="128" t="n">
        <v>0</v>
      </c>
      <c r="X53" s="128" t="n">
        <v>0</v>
      </c>
      <c r="Y53" s="128" t="n">
        <v>0</v>
      </c>
      <c r="Z53" s="128" t="n">
        <v>0</v>
      </c>
      <c r="AA53" s="128" t="n">
        <v>0</v>
      </c>
      <c r="AB53" s="128" t="n">
        <v>0</v>
      </c>
      <c r="AC53" s="128" t="n">
        <v>0</v>
      </c>
      <c r="AD53" s="128" t="n">
        <v>0</v>
      </c>
      <c r="AE53" s="128" t="n">
        <v>0</v>
      </c>
      <c r="AF53" s="127" t="n">
        <v>1</v>
      </c>
      <c r="AG53" s="128" t="n">
        <v>0</v>
      </c>
      <c r="AH53" s="128" t="n">
        <v>0</v>
      </c>
      <c r="AI53" s="128" t="n">
        <v>0</v>
      </c>
      <c r="AJ53" s="128" t="n">
        <v>0</v>
      </c>
      <c r="AK53" s="128" t="n">
        <v>0</v>
      </c>
      <c r="AL53" s="128" t="n">
        <v>0</v>
      </c>
      <c r="AM53" s="128" t="n">
        <v>0</v>
      </c>
      <c r="AN53" s="128" t="n">
        <v>0</v>
      </c>
      <c r="AO53" s="128" t="n">
        <v>0</v>
      </c>
      <c r="AP53" s="128" t="n">
        <v>0</v>
      </c>
      <c r="AQ53" s="128" t="n">
        <v>0</v>
      </c>
      <c r="AS53" s="129">
        <f>IF(SUM('03_Colocation_Calc'!$T$53:$AC$53)&gt;0,1,0)</f>
        <v/>
      </c>
    </row>
    <row r="54" ht="16" customHeight="1">
      <c r="A54" s="126" t="inlineStr">
        <is>
          <t>rabbitmq</t>
        </is>
      </c>
      <c r="B54" s="126" t="inlineStr">
        <is>
          <t>RabbitMQ (Message Queue)</t>
        </is>
      </c>
      <c r="C54" s="128" t="n">
        <v>0</v>
      </c>
      <c r="D54" s="128" t="n">
        <v>0</v>
      </c>
      <c r="E54" s="128" t="n">
        <v>0</v>
      </c>
      <c r="F54" s="128" t="n">
        <v>0</v>
      </c>
      <c r="G54" s="128" t="n">
        <v>0</v>
      </c>
      <c r="H54" s="128" t="n">
        <v>0</v>
      </c>
      <c r="I54" s="128" t="n">
        <v>0</v>
      </c>
      <c r="J54" s="128" t="n">
        <v>0</v>
      </c>
      <c r="K54" s="128" t="n">
        <v>0</v>
      </c>
      <c r="L54" s="128" t="n">
        <v>0</v>
      </c>
      <c r="M54" s="128" t="n">
        <v>0</v>
      </c>
      <c r="N54" s="128" t="n">
        <v>0</v>
      </c>
      <c r="O54" s="128" t="n">
        <v>0</v>
      </c>
      <c r="P54" s="128" t="n">
        <v>0</v>
      </c>
      <c r="Q54" s="128" t="n">
        <v>0</v>
      </c>
      <c r="R54" s="128" t="n">
        <v>0</v>
      </c>
      <c r="S54" s="128" t="n">
        <v>0</v>
      </c>
      <c r="T54" s="128" t="n">
        <v>0</v>
      </c>
      <c r="U54" s="128" t="n">
        <v>0</v>
      </c>
      <c r="V54" s="128" t="n">
        <v>0</v>
      </c>
      <c r="W54" s="128" t="n">
        <v>0</v>
      </c>
      <c r="X54" s="128" t="n">
        <v>0</v>
      </c>
      <c r="Y54" s="128" t="n">
        <v>0</v>
      </c>
      <c r="Z54" s="128" t="n">
        <v>0</v>
      </c>
      <c r="AA54" s="128" t="n">
        <v>0</v>
      </c>
      <c r="AB54" s="128" t="n">
        <v>0</v>
      </c>
      <c r="AC54" s="128" t="n">
        <v>0</v>
      </c>
      <c r="AD54" s="128" t="n">
        <v>0</v>
      </c>
      <c r="AE54" s="128" t="n">
        <v>0</v>
      </c>
      <c r="AF54" s="127" t="n">
        <v>1</v>
      </c>
      <c r="AG54" s="128" t="n">
        <v>0</v>
      </c>
      <c r="AH54" s="128" t="n">
        <v>0</v>
      </c>
      <c r="AI54" s="128" t="n">
        <v>0</v>
      </c>
      <c r="AJ54" s="128" t="n">
        <v>0</v>
      </c>
      <c r="AK54" s="128" t="n">
        <v>0</v>
      </c>
      <c r="AL54" s="128" t="n">
        <v>0</v>
      </c>
      <c r="AM54" s="128" t="n">
        <v>0</v>
      </c>
      <c r="AN54" s="128" t="n">
        <v>0</v>
      </c>
      <c r="AO54" s="128" t="n">
        <v>0</v>
      </c>
      <c r="AP54" s="128" t="n">
        <v>0</v>
      </c>
      <c r="AQ54" s="128" t="n">
        <v>0</v>
      </c>
      <c r="AS54" s="129">
        <f>IF(SUM('03_Colocation_Calc'!$T$54:$AC$54)&gt;0,1,0)</f>
        <v/>
      </c>
    </row>
    <row r="55" ht="16" customHeight="1">
      <c r="A55" s="126" t="inlineStr">
        <is>
          <t>sftp-nfs</t>
        </is>
      </c>
      <c r="B55" s="126" t="inlineStr">
        <is>
          <t>SFTP / NFS File Server</t>
        </is>
      </c>
      <c r="C55" s="128" t="n">
        <v>0</v>
      </c>
      <c r="D55" s="128" t="n">
        <v>0</v>
      </c>
      <c r="E55" s="128" t="n">
        <v>0</v>
      </c>
      <c r="F55" s="128" t="n">
        <v>0</v>
      </c>
      <c r="G55" s="128" t="n">
        <v>0</v>
      </c>
      <c r="H55" s="128" t="n">
        <v>0</v>
      </c>
      <c r="I55" s="128" t="n">
        <v>0</v>
      </c>
      <c r="J55" s="128" t="n">
        <v>0</v>
      </c>
      <c r="K55" s="128" t="n">
        <v>0</v>
      </c>
      <c r="L55" s="128" t="n">
        <v>0</v>
      </c>
      <c r="M55" s="128" t="n">
        <v>0</v>
      </c>
      <c r="N55" s="128" t="n">
        <v>0</v>
      </c>
      <c r="O55" s="128" t="n">
        <v>0</v>
      </c>
      <c r="P55" s="128" t="n">
        <v>0</v>
      </c>
      <c r="Q55" s="128" t="n">
        <v>0</v>
      </c>
      <c r="R55" s="128" t="n">
        <v>0</v>
      </c>
      <c r="S55" s="128" t="n">
        <v>0</v>
      </c>
      <c r="T55" s="128" t="n">
        <v>0</v>
      </c>
      <c r="U55" s="128" t="n">
        <v>0</v>
      </c>
      <c r="V55" s="127" t="n">
        <v>1</v>
      </c>
      <c r="W55" s="128" t="n">
        <v>0</v>
      </c>
      <c r="X55" s="128" t="n">
        <v>0</v>
      </c>
      <c r="Y55" s="128" t="n">
        <v>0</v>
      </c>
      <c r="Z55" s="128" t="n">
        <v>0</v>
      </c>
      <c r="AA55" s="128" t="n">
        <v>0</v>
      </c>
      <c r="AB55" s="128" t="n">
        <v>0</v>
      </c>
      <c r="AC55" s="128" t="n">
        <v>0</v>
      </c>
      <c r="AD55" s="128" t="n">
        <v>0</v>
      </c>
      <c r="AE55" s="128" t="n">
        <v>0</v>
      </c>
      <c r="AF55" s="128" t="n">
        <v>0</v>
      </c>
      <c r="AG55" s="128" t="n">
        <v>0</v>
      </c>
      <c r="AH55" s="128" t="n">
        <v>0</v>
      </c>
      <c r="AI55" s="128" t="n">
        <v>0</v>
      </c>
      <c r="AJ55" s="128" t="n">
        <v>0</v>
      </c>
      <c r="AK55" s="128" t="n">
        <v>0</v>
      </c>
      <c r="AL55" s="128" t="n">
        <v>0</v>
      </c>
      <c r="AM55" s="127" t="n">
        <v>1</v>
      </c>
      <c r="AN55" s="128" t="n">
        <v>0</v>
      </c>
      <c r="AO55" s="128" t="n">
        <v>0</v>
      </c>
      <c r="AP55" s="128" t="n">
        <v>0</v>
      </c>
      <c r="AQ55" s="128" t="n">
        <v>0</v>
      </c>
      <c r="AS55" s="129">
        <f>IF(SUM('03_Colocation_Calc'!$T$55:$AC$55)&gt;0,1,0)</f>
        <v/>
      </c>
    </row>
    <row r="56" ht="16" customHeight="1">
      <c r="A56" s="126" t="inlineStr">
        <is>
          <t>scancode</t>
        </is>
      </c>
      <c r="B56" s="126" t="inlineStr">
        <is>
          <t>ScanCode Toolkit / License Finder (License Compliance แบบ Permissive)</t>
        </is>
      </c>
      <c r="C56" s="128" t="n">
        <v>0</v>
      </c>
      <c r="D56" s="128" t="n">
        <v>0</v>
      </c>
      <c r="E56" s="128" t="n">
        <v>0</v>
      </c>
      <c r="F56" s="128" t="n">
        <v>0</v>
      </c>
      <c r="G56" s="128" t="n">
        <v>0</v>
      </c>
      <c r="H56" s="128" t="n">
        <v>0</v>
      </c>
      <c r="I56" s="128" t="n">
        <v>0</v>
      </c>
      <c r="J56" s="127" t="n">
        <v>1</v>
      </c>
      <c r="K56" s="128" t="n">
        <v>0</v>
      </c>
      <c r="L56" s="128" t="n">
        <v>0</v>
      </c>
      <c r="M56" s="128" t="n">
        <v>0</v>
      </c>
      <c r="N56" s="128" t="n">
        <v>0</v>
      </c>
      <c r="O56" s="128" t="n">
        <v>0</v>
      </c>
      <c r="P56" s="128" t="n">
        <v>0</v>
      </c>
      <c r="Q56" s="128" t="n">
        <v>0</v>
      </c>
      <c r="R56" s="128" t="n">
        <v>0</v>
      </c>
      <c r="S56" s="128" t="n">
        <v>0</v>
      </c>
      <c r="T56" s="128" t="n">
        <v>0</v>
      </c>
      <c r="U56" s="128" t="n">
        <v>0</v>
      </c>
      <c r="V56" s="128" t="n">
        <v>0</v>
      </c>
      <c r="W56" s="128" t="n">
        <v>0</v>
      </c>
      <c r="X56" s="127" t="n">
        <v>1</v>
      </c>
      <c r="Y56" s="128" t="n">
        <v>0</v>
      </c>
      <c r="Z56" s="128" t="n">
        <v>0</v>
      </c>
      <c r="AA56" s="128" t="n">
        <v>0</v>
      </c>
      <c r="AB56" s="128" t="n">
        <v>0</v>
      </c>
      <c r="AC56" s="128" t="n">
        <v>0</v>
      </c>
      <c r="AD56" s="128" t="n">
        <v>0</v>
      </c>
      <c r="AE56" s="128" t="n">
        <v>0</v>
      </c>
      <c r="AF56" s="128" t="n">
        <v>0</v>
      </c>
      <c r="AG56" s="128" t="n">
        <v>0</v>
      </c>
      <c r="AH56" s="128" t="n">
        <v>0</v>
      </c>
      <c r="AI56" s="128" t="n">
        <v>0</v>
      </c>
      <c r="AJ56" s="128" t="n">
        <v>0</v>
      </c>
      <c r="AK56" s="128" t="n">
        <v>0</v>
      </c>
      <c r="AL56" s="128" t="n">
        <v>0</v>
      </c>
      <c r="AM56" s="128" t="n">
        <v>0</v>
      </c>
      <c r="AN56" s="128" t="n">
        <v>0</v>
      </c>
      <c r="AO56" s="128" t="n">
        <v>0</v>
      </c>
      <c r="AP56" s="128" t="n">
        <v>0</v>
      </c>
      <c r="AQ56" s="128" t="n">
        <v>0</v>
      </c>
      <c r="AS56" s="129">
        <f>IF(SUM('03_Colocation_Calc'!$T$56:$AC$56)&gt;0,1,0)</f>
        <v/>
      </c>
    </row>
    <row r="57" ht="16" customHeight="1">
      <c r="A57" s="126" t="inlineStr">
        <is>
          <t>cbomkit</t>
        </is>
      </c>
      <c r="B57" s="126" t="inlineStr">
        <is>
          <t>CBOMkit / Crypto Inventory Scanner (Crypto Bill of Materials)</t>
        </is>
      </c>
      <c r="C57" s="128" t="n">
        <v>0</v>
      </c>
      <c r="D57" s="128" t="n">
        <v>0</v>
      </c>
      <c r="E57" s="128" t="n">
        <v>0</v>
      </c>
      <c r="F57" s="128" t="n">
        <v>0</v>
      </c>
      <c r="G57" s="128" t="n">
        <v>0</v>
      </c>
      <c r="H57" s="128" t="n">
        <v>0</v>
      </c>
      <c r="I57" s="128" t="n">
        <v>0</v>
      </c>
      <c r="J57" s="128" t="n">
        <v>0</v>
      </c>
      <c r="K57" s="128" t="n">
        <v>0</v>
      </c>
      <c r="L57" s="128" t="n">
        <v>0</v>
      </c>
      <c r="M57" s="128" t="n">
        <v>0</v>
      </c>
      <c r="N57" s="128" t="n">
        <v>0</v>
      </c>
      <c r="O57" s="128" t="n">
        <v>0</v>
      </c>
      <c r="P57" s="128" t="n">
        <v>0</v>
      </c>
      <c r="Q57" s="128" t="n">
        <v>0</v>
      </c>
      <c r="R57" s="128" t="n">
        <v>0</v>
      </c>
      <c r="S57" s="128" t="n">
        <v>0</v>
      </c>
      <c r="T57" s="128" t="n">
        <v>0</v>
      </c>
      <c r="U57" s="128" t="n">
        <v>0</v>
      </c>
      <c r="V57" s="128" t="n">
        <v>0</v>
      </c>
      <c r="W57" s="128" t="n">
        <v>0</v>
      </c>
      <c r="X57" s="127" t="n">
        <v>1</v>
      </c>
      <c r="Y57" s="128" t="n">
        <v>0</v>
      </c>
      <c r="Z57" s="128" t="n">
        <v>0</v>
      </c>
      <c r="AA57" s="128" t="n">
        <v>0</v>
      </c>
      <c r="AB57" s="128" t="n">
        <v>0</v>
      </c>
      <c r="AC57" s="128" t="n">
        <v>0</v>
      </c>
      <c r="AD57" s="128" t="n">
        <v>0</v>
      </c>
      <c r="AE57" s="128" t="n">
        <v>0</v>
      </c>
      <c r="AF57" s="128" t="n">
        <v>0</v>
      </c>
      <c r="AG57" s="128" t="n">
        <v>0</v>
      </c>
      <c r="AH57" s="128" t="n">
        <v>0</v>
      </c>
      <c r="AI57" s="128" t="n">
        <v>0</v>
      </c>
      <c r="AJ57" s="128" t="n">
        <v>0</v>
      </c>
      <c r="AK57" s="128" t="n">
        <v>0</v>
      </c>
      <c r="AL57" s="128" t="n">
        <v>0</v>
      </c>
      <c r="AM57" s="128" t="n">
        <v>0</v>
      </c>
      <c r="AN57" s="128" t="n">
        <v>0</v>
      </c>
      <c r="AO57" s="127" t="n">
        <v>1</v>
      </c>
      <c r="AP57" s="128" t="n">
        <v>0</v>
      </c>
      <c r="AQ57" s="128" t="n">
        <v>0</v>
      </c>
      <c r="AS57" s="129">
        <f>IF(SUM('03_Colocation_Calc'!$T$57:$AC$57)&gt;0,1,0)</f>
        <v/>
      </c>
    </row>
    <row r="58" ht="16" customHeight="1">
      <c r="A58" s="126" t="inlineStr">
        <is>
          <t>opensearch</t>
        </is>
      </c>
      <c r="B58" s="126" t="inlineStr">
        <is>
          <t>OpenSearch + OpenSearch Dashboards (Log &amp; SIEM แบบ Apache-2.0)</t>
        </is>
      </c>
      <c r="C58" s="128" t="n">
        <v>0</v>
      </c>
      <c r="D58" s="128" t="n">
        <v>0</v>
      </c>
      <c r="E58" s="128" t="n">
        <v>0</v>
      </c>
      <c r="F58" s="128" t="n">
        <v>0</v>
      </c>
      <c r="G58" s="128" t="n">
        <v>0</v>
      </c>
      <c r="H58" s="128" t="n">
        <v>0</v>
      </c>
      <c r="I58" s="128" t="n">
        <v>0</v>
      </c>
      <c r="J58" s="128" t="n">
        <v>0</v>
      </c>
      <c r="K58" s="128" t="n">
        <v>0</v>
      </c>
      <c r="L58" s="128" t="n">
        <v>0</v>
      </c>
      <c r="M58" s="128" t="n">
        <v>0</v>
      </c>
      <c r="N58" s="128" t="n">
        <v>0</v>
      </c>
      <c r="O58" s="128" t="n">
        <v>0</v>
      </c>
      <c r="P58" s="128" t="n">
        <v>0</v>
      </c>
      <c r="Q58" s="128" t="n">
        <v>0</v>
      </c>
      <c r="R58" s="128" t="n">
        <v>0</v>
      </c>
      <c r="S58" s="128" t="n">
        <v>0</v>
      </c>
      <c r="T58" s="128" t="n">
        <v>0</v>
      </c>
      <c r="U58" s="128" t="n">
        <v>0</v>
      </c>
      <c r="V58" s="128" t="n">
        <v>0</v>
      </c>
      <c r="W58" s="128" t="n">
        <v>0</v>
      </c>
      <c r="X58" s="128" t="n">
        <v>0</v>
      </c>
      <c r="Y58" s="127" t="n">
        <v>1</v>
      </c>
      <c r="Z58" s="127" t="n">
        <v>1</v>
      </c>
      <c r="AA58" s="127" t="n">
        <v>1</v>
      </c>
      <c r="AB58" s="128" t="n">
        <v>0</v>
      </c>
      <c r="AC58" s="128" t="n">
        <v>0</v>
      </c>
      <c r="AD58" s="128" t="n">
        <v>0</v>
      </c>
      <c r="AE58" s="128" t="n">
        <v>0</v>
      </c>
      <c r="AF58" s="128" t="n">
        <v>0</v>
      </c>
      <c r="AG58" s="128" t="n">
        <v>0</v>
      </c>
      <c r="AH58" s="128" t="n">
        <v>0</v>
      </c>
      <c r="AI58" s="128" t="n">
        <v>0</v>
      </c>
      <c r="AJ58" s="128" t="n">
        <v>0</v>
      </c>
      <c r="AK58" s="128" t="n">
        <v>0</v>
      </c>
      <c r="AL58" s="128" t="n">
        <v>0</v>
      </c>
      <c r="AM58" s="128" t="n">
        <v>0</v>
      </c>
      <c r="AN58" s="128" t="n">
        <v>0</v>
      </c>
      <c r="AO58" s="128" t="n">
        <v>0</v>
      </c>
      <c r="AP58" s="128" t="n">
        <v>0</v>
      </c>
      <c r="AQ58" s="128" t="n">
        <v>0</v>
      </c>
      <c r="AS58" s="129">
        <f>IF(SUM('03_Colocation_Calc'!$T$58:$AC$58)&gt;0,1,0)</f>
        <v/>
      </c>
    </row>
    <row r="59" ht="16" customHeight="1">
      <c r="A59" s="126" t="inlineStr">
        <is>
          <t>openbao</t>
        </is>
      </c>
      <c r="B59" s="126" t="inlineStr">
        <is>
          <t>OpenBao (Secret Management แบบ MPL-2.0)</t>
        </is>
      </c>
      <c r="C59" s="128" t="n">
        <v>0</v>
      </c>
      <c r="D59" s="128" t="n">
        <v>0</v>
      </c>
      <c r="E59" s="128" t="n">
        <v>0</v>
      </c>
      <c r="F59" s="128" t="n">
        <v>0</v>
      </c>
      <c r="G59" s="128" t="n">
        <v>0</v>
      </c>
      <c r="H59" s="128" t="n">
        <v>0</v>
      </c>
      <c r="I59" s="128" t="n">
        <v>0</v>
      </c>
      <c r="J59" s="128" t="n">
        <v>0</v>
      </c>
      <c r="K59" s="128" t="n">
        <v>0</v>
      </c>
      <c r="L59" s="128" t="n">
        <v>0</v>
      </c>
      <c r="M59" s="128" t="n">
        <v>0</v>
      </c>
      <c r="N59" s="128" t="n">
        <v>0</v>
      </c>
      <c r="O59" s="128" t="n">
        <v>0</v>
      </c>
      <c r="P59" s="128" t="n">
        <v>0</v>
      </c>
      <c r="Q59" s="128" t="n">
        <v>0</v>
      </c>
      <c r="R59" s="128" t="n">
        <v>0</v>
      </c>
      <c r="S59" s="128" t="n">
        <v>0</v>
      </c>
      <c r="T59" s="128" t="n">
        <v>0</v>
      </c>
      <c r="U59" s="128" t="n">
        <v>0</v>
      </c>
      <c r="V59" s="128" t="n">
        <v>0</v>
      </c>
      <c r="W59" s="128" t="n">
        <v>0</v>
      </c>
      <c r="X59" s="128" t="n">
        <v>0</v>
      </c>
      <c r="Y59" s="127" t="n">
        <v>1</v>
      </c>
      <c r="Z59" s="128" t="n">
        <v>0</v>
      </c>
      <c r="AA59" s="128" t="n">
        <v>0</v>
      </c>
      <c r="AB59" s="128" t="n">
        <v>0</v>
      </c>
      <c r="AC59" s="128" t="n">
        <v>0</v>
      </c>
      <c r="AD59" s="128" t="n">
        <v>0</v>
      </c>
      <c r="AE59" s="128" t="n">
        <v>0</v>
      </c>
      <c r="AF59" s="128" t="n">
        <v>0</v>
      </c>
      <c r="AG59" s="127" t="n">
        <v>1</v>
      </c>
      <c r="AH59" s="128" t="n">
        <v>0</v>
      </c>
      <c r="AI59" s="128" t="n">
        <v>0</v>
      </c>
      <c r="AJ59" s="128" t="n">
        <v>0</v>
      </c>
      <c r="AK59" s="128" t="n">
        <v>0</v>
      </c>
      <c r="AL59" s="128" t="n">
        <v>0</v>
      </c>
      <c r="AM59" s="128" t="n">
        <v>0</v>
      </c>
      <c r="AN59" s="127" t="n">
        <v>1</v>
      </c>
      <c r="AO59" s="128" t="n">
        <v>0</v>
      </c>
      <c r="AP59" s="128" t="n">
        <v>0</v>
      </c>
      <c r="AQ59" s="128" t="n">
        <v>0</v>
      </c>
      <c r="AS59" s="129">
        <f>IF(SUM('03_Colocation_Calc'!$T$59:$AC$59)&gt;0,1,0)</f>
        <v/>
      </c>
    </row>
    <row r="60" ht="16" customHeight="1">
      <c r="A60" s="126" t="inlineStr">
        <is>
          <t>azure-devops</t>
        </is>
      </c>
      <c r="B60" s="126" t="inlineStr">
        <is>
          <t>Azure DevOps (Cloud CI/CD Platform)</t>
        </is>
      </c>
      <c r="C60" s="127" t="n">
        <v>1</v>
      </c>
      <c r="D60" s="127" t="n">
        <v>1</v>
      </c>
      <c r="E60" s="127" t="n">
        <v>1</v>
      </c>
      <c r="F60" s="127" t="n">
        <v>1</v>
      </c>
      <c r="G60" s="128" t="n">
        <v>0</v>
      </c>
      <c r="H60" s="128" t="n">
        <v>0</v>
      </c>
      <c r="I60" s="128" t="n">
        <v>0</v>
      </c>
      <c r="J60" s="128" t="n">
        <v>0</v>
      </c>
      <c r="K60" s="128" t="n">
        <v>0</v>
      </c>
      <c r="L60" s="128" t="n">
        <v>0</v>
      </c>
      <c r="M60" s="128" t="n">
        <v>0</v>
      </c>
      <c r="N60" s="128" t="n">
        <v>0</v>
      </c>
      <c r="O60" s="128" t="n">
        <v>0</v>
      </c>
      <c r="P60" s="128" t="n">
        <v>0</v>
      </c>
      <c r="Q60" s="128" t="n">
        <v>0</v>
      </c>
      <c r="R60" s="128" t="n">
        <v>0</v>
      </c>
      <c r="S60" s="128" t="n">
        <v>0</v>
      </c>
      <c r="T60" s="128" t="n">
        <v>0</v>
      </c>
      <c r="U60" s="128" t="n">
        <v>0</v>
      </c>
      <c r="V60" s="128" t="n">
        <v>0</v>
      </c>
      <c r="W60" s="128" t="n">
        <v>0</v>
      </c>
      <c r="X60" s="128" t="n">
        <v>0</v>
      </c>
      <c r="Y60" s="127" t="n">
        <v>1</v>
      </c>
      <c r="Z60" s="128" t="n">
        <v>0</v>
      </c>
      <c r="AA60" s="128" t="n">
        <v>0</v>
      </c>
      <c r="AB60" s="127" t="n">
        <v>1</v>
      </c>
      <c r="AC60" s="127" t="n">
        <v>1</v>
      </c>
      <c r="AD60" s="128" t="n">
        <v>0</v>
      </c>
      <c r="AE60" s="128" t="n">
        <v>0</v>
      </c>
      <c r="AF60" s="128" t="n">
        <v>0</v>
      </c>
      <c r="AG60" s="128" t="n">
        <v>0</v>
      </c>
      <c r="AH60" s="128" t="n">
        <v>0</v>
      </c>
      <c r="AI60" s="128" t="n">
        <v>0</v>
      </c>
      <c r="AJ60" s="128" t="n">
        <v>0</v>
      </c>
      <c r="AK60" s="128" t="n">
        <v>0</v>
      </c>
      <c r="AL60" s="128" t="n">
        <v>0</v>
      </c>
      <c r="AM60" s="128" t="n">
        <v>0</v>
      </c>
      <c r="AN60" s="128" t="n">
        <v>0</v>
      </c>
      <c r="AO60" s="128" t="n">
        <v>0</v>
      </c>
      <c r="AP60" s="128" t="n">
        <v>0</v>
      </c>
      <c r="AQ60" s="128" t="n">
        <v>0</v>
      </c>
      <c r="AS60" s="129">
        <f>IF(SUM('03_Colocation_Calc'!$T$60:$AC$60)&gt;0,1,0)</f>
        <v/>
      </c>
    </row>
    <row r="61" ht="16" customHeight="1">
      <c r="A61" s="126" t="inlineStr">
        <is>
          <t>github-actions</t>
        </is>
      </c>
      <c r="B61" s="126" t="inlineStr">
        <is>
          <t>GitHub Actions (Cloud CI/CD)</t>
        </is>
      </c>
      <c r="C61" s="128" t="n">
        <v>0</v>
      </c>
      <c r="D61" s="127" t="n">
        <v>1</v>
      </c>
      <c r="E61" s="128" t="n">
        <v>0</v>
      </c>
      <c r="F61" s="127" t="n">
        <v>1</v>
      </c>
      <c r="G61" s="128" t="n">
        <v>0</v>
      </c>
      <c r="H61" s="128" t="n">
        <v>0</v>
      </c>
      <c r="I61" s="128" t="n">
        <v>0</v>
      </c>
      <c r="J61" s="128" t="n">
        <v>0</v>
      </c>
      <c r="K61" s="128" t="n">
        <v>0</v>
      </c>
      <c r="L61" s="127" t="n">
        <v>1</v>
      </c>
      <c r="M61" s="128" t="n">
        <v>0</v>
      </c>
      <c r="N61" s="128" t="n">
        <v>0</v>
      </c>
      <c r="O61" s="128" t="n">
        <v>0</v>
      </c>
      <c r="P61" s="128" t="n">
        <v>0</v>
      </c>
      <c r="Q61" s="128" t="n">
        <v>0</v>
      </c>
      <c r="R61" s="128" t="n">
        <v>0</v>
      </c>
      <c r="S61" s="128" t="n">
        <v>0</v>
      </c>
      <c r="T61" s="128" t="n">
        <v>0</v>
      </c>
      <c r="U61" s="128" t="n">
        <v>0</v>
      </c>
      <c r="V61" s="128" t="n">
        <v>0</v>
      </c>
      <c r="W61" s="128" t="n">
        <v>0</v>
      </c>
      <c r="X61" s="128" t="n">
        <v>0</v>
      </c>
      <c r="Y61" s="127" t="n">
        <v>1</v>
      </c>
      <c r="Z61" s="128" t="n">
        <v>0</v>
      </c>
      <c r="AA61" s="128" t="n">
        <v>0</v>
      </c>
      <c r="AB61" s="128" t="n">
        <v>0</v>
      </c>
      <c r="AC61" s="127" t="n">
        <v>1</v>
      </c>
      <c r="AD61" s="128" t="n">
        <v>0</v>
      </c>
      <c r="AE61" s="128" t="n">
        <v>0</v>
      </c>
      <c r="AF61" s="128" t="n">
        <v>0</v>
      </c>
      <c r="AG61" s="128" t="n">
        <v>0</v>
      </c>
      <c r="AH61" s="128" t="n">
        <v>0</v>
      </c>
      <c r="AI61" s="128" t="n">
        <v>0</v>
      </c>
      <c r="AJ61" s="128" t="n">
        <v>0</v>
      </c>
      <c r="AK61" s="128" t="n">
        <v>0</v>
      </c>
      <c r="AL61" s="128" t="n">
        <v>0</v>
      </c>
      <c r="AM61" s="128" t="n">
        <v>0</v>
      </c>
      <c r="AN61" s="128" t="n">
        <v>0</v>
      </c>
      <c r="AO61" s="128" t="n">
        <v>0</v>
      </c>
      <c r="AP61" s="128" t="n">
        <v>0</v>
      </c>
      <c r="AQ61" s="128" t="n">
        <v>0</v>
      </c>
      <c r="AS61" s="129">
        <f>IF(SUM('03_Colocation_Calc'!$T$61:$AC$61)&gt;0,1,0)</f>
        <v/>
      </c>
    </row>
    <row r="62" ht="16" customHeight="1">
      <c r="A62" s="126" t="inlineStr">
        <is>
          <t>aws-codecommit-pipeline</t>
        </is>
      </c>
      <c r="B62" s="126" t="inlineStr">
        <is>
          <t>AWS CodePipeline + CodeBuild + CodeCommit</t>
        </is>
      </c>
      <c r="C62" s="127" t="n">
        <v>1</v>
      </c>
      <c r="D62" s="127" t="n">
        <v>1</v>
      </c>
      <c r="E62" s="128" t="n">
        <v>0</v>
      </c>
      <c r="F62" s="127" t="n">
        <v>1</v>
      </c>
      <c r="G62" s="128" t="n">
        <v>0</v>
      </c>
      <c r="H62" s="128" t="n">
        <v>0</v>
      </c>
      <c r="I62" s="128" t="n">
        <v>0</v>
      </c>
      <c r="J62" s="128" t="n">
        <v>0</v>
      </c>
      <c r="K62" s="128" t="n">
        <v>0</v>
      </c>
      <c r="L62" s="127" t="n">
        <v>1</v>
      </c>
      <c r="M62" s="128" t="n">
        <v>0</v>
      </c>
      <c r="N62" s="128" t="n">
        <v>0</v>
      </c>
      <c r="O62" s="128" t="n">
        <v>0</v>
      </c>
      <c r="P62" s="128" t="n">
        <v>0</v>
      </c>
      <c r="Q62" s="128" t="n">
        <v>0</v>
      </c>
      <c r="R62" s="128" t="n">
        <v>0</v>
      </c>
      <c r="S62" s="128" t="n">
        <v>0</v>
      </c>
      <c r="T62" s="128" t="n">
        <v>0</v>
      </c>
      <c r="U62" s="128" t="n">
        <v>0</v>
      </c>
      <c r="V62" s="128" t="n">
        <v>0</v>
      </c>
      <c r="W62" s="128" t="n">
        <v>0</v>
      </c>
      <c r="X62" s="128" t="n">
        <v>0</v>
      </c>
      <c r="Y62" s="127" t="n">
        <v>1</v>
      </c>
      <c r="Z62" s="128" t="n">
        <v>0</v>
      </c>
      <c r="AA62" s="128" t="n">
        <v>0</v>
      </c>
      <c r="AB62" s="128" t="n">
        <v>0</v>
      </c>
      <c r="AC62" s="127" t="n">
        <v>1</v>
      </c>
      <c r="AD62" s="128" t="n">
        <v>0</v>
      </c>
      <c r="AE62" s="128" t="n">
        <v>0</v>
      </c>
      <c r="AF62" s="128" t="n">
        <v>0</v>
      </c>
      <c r="AG62" s="128" t="n">
        <v>0</v>
      </c>
      <c r="AH62" s="128" t="n">
        <v>0</v>
      </c>
      <c r="AI62" s="128" t="n">
        <v>0</v>
      </c>
      <c r="AJ62" s="128" t="n">
        <v>0</v>
      </c>
      <c r="AK62" s="128" t="n">
        <v>0</v>
      </c>
      <c r="AL62" s="128" t="n">
        <v>0</v>
      </c>
      <c r="AM62" s="128" t="n">
        <v>0</v>
      </c>
      <c r="AN62" s="128" t="n">
        <v>0</v>
      </c>
      <c r="AO62" s="128" t="n">
        <v>0</v>
      </c>
      <c r="AP62" s="128" t="n">
        <v>0</v>
      </c>
      <c r="AQ62" s="128" t="n">
        <v>0</v>
      </c>
      <c r="AS62" s="129">
        <f>IF(SUM('03_Colocation_Calc'!$T$62:$AC$62)&gt;0,1,0)</f>
        <v/>
      </c>
    </row>
    <row r="63" ht="16" customHeight="1">
      <c r="A63" s="126" t="inlineStr">
        <is>
          <t>gcp-cloud-build</t>
        </is>
      </c>
      <c r="B63" s="126" t="inlineStr">
        <is>
          <t>Google Cloud Build + Source Repositories</t>
        </is>
      </c>
      <c r="C63" s="128" t="n">
        <v>0</v>
      </c>
      <c r="D63" s="127" t="n">
        <v>1</v>
      </c>
      <c r="E63" s="128" t="n">
        <v>0</v>
      </c>
      <c r="F63" s="127" t="n">
        <v>1</v>
      </c>
      <c r="G63" s="128" t="n">
        <v>0</v>
      </c>
      <c r="H63" s="128" t="n">
        <v>0</v>
      </c>
      <c r="I63" s="128" t="n">
        <v>0</v>
      </c>
      <c r="J63" s="128" t="n">
        <v>0</v>
      </c>
      <c r="K63" s="128" t="n">
        <v>0</v>
      </c>
      <c r="L63" s="127" t="n">
        <v>1</v>
      </c>
      <c r="M63" s="127" t="n">
        <v>1</v>
      </c>
      <c r="N63" s="128" t="n">
        <v>0</v>
      </c>
      <c r="O63" s="128" t="n">
        <v>0</v>
      </c>
      <c r="P63" s="128" t="n">
        <v>0</v>
      </c>
      <c r="Q63" s="128" t="n">
        <v>0</v>
      </c>
      <c r="R63" s="128" t="n">
        <v>0</v>
      </c>
      <c r="S63" s="128" t="n">
        <v>0</v>
      </c>
      <c r="T63" s="128" t="n">
        <v>0</v>
      </c>
      <c r="U63" s="128" t="n">
        <v>0</v>
      </c>
      <c r="V63" s="128" t="n">
        <v>0</v>
      </c>
      <c r="W63" s="128" t="n">
        <v>0</v>
      </c>
      <c r="X63" s="128" t="n">
        <v>0</v>
      </c>
      <c r="Y63" s="128" t="n">
        <v>0</v>
      </c>
      <c r="Z63" s="128" t="n">
        <v>0</v>
      </c>
      <c r="AA63" s="128" t="n">
        <v>0</v>
      </c>
      <c r="AB63" s="128" t="n">
        <v>0</v>
      </c>
      <c r="AC63" s="127" t="n">
        <v>1</v>
      </c>
      <c r="AD63" s="128" t="n">
        <v>0</v>
      </c>
      <c r="AE63" s="128" t="n">
        <v>0</v>
      </c>
      <c r="AF63" s="128" t="n">
        <v>0</v>
      </c>
      <c r="AG63" s="128" t="n">
        <v>0</v>
      </c>
      <c r="AH63" s="128" t="n">
        <v>0</v>
      </c>
      <c r="AI63" s="128" t="n">
        <v>0</v>
      </c>
      <c r="AJ63" s="128" t="n">
        <v>0</v>
      </c>
      <c r="AK63" s="128" t="n">
        <v>0</v>
      </c>
      <c r="AL63" s="128" t="n">
        <v>0</v>
      </c>
      <c r="AM63" s="128" t="n">
        <v>0</v>
      </c>
      <c r="AN63" s="128" t="n">
        <v>0</v>
      </c>
      <c r="AO63" s="128" t="n">
        <v>0</v>
      </c>
      <c r="AP63" s="128" t="n">
        <v>0</v>
      </c>
      <c r="AQ63" s="128" t="n">
        <v>0</v>
      </c>
      <c r="AS63" s="129">
        <f>IF(SUM('03_Colocation_Calc'!$T$63:$AC$63)&gt;0,1,0)</f>
        <v/>
      </c>
    </row>
    <row r="64" ht="16" customHeight="1">
      <c r="A64" s="126" t="inlineStr">
        <is>
          <t>azure-container-registry</t>
        </is>
      </c>
      <c r="B64" s="126" t="inlineStr">
        <is>
          <t>Azure Container Registry (ACR)</t>
        </is>
      </c>
      <c r="C64" s="128" t="n">
        <v>0</v>
      </c>
      <c r="D64" s="128" t="n">
        <v>0</v>
      </c>
      <c r="E64" s="128" t="n">
        <v>0</v>
      </c>
      <c r="F64" s="128" t="n">
        <v>0</v>
      </c>
      <c r="G64" s="128" t="n">
        <v>0</v>
      </c>
      <c r="H64" s="128" t="n">
        <v>0</v>
      </c>
      <c r="I64" s="128" t="n">
        <v>0</v>
      </c>
      <c r="J64" s="128" t="n">
        <v>0</v>
      </c>
      <c r="K64" s="128" t="n">
        <v>0</v>
      </c>
      <c r="L64" s="128" t="n">
        <v>0</v>
      </c>
      <c r="M64" s="128" t="n">
        <v>0</v>
      </c>
      <c r="N64" s="127" t="n">
        <v>1</v>
      </c>
      <c r="O64" s="128" t="n">
        <v>0</v>
      </c>
      <c r="P64" s="127" t="n">
        <v>1</v>
      </c>
      <c r="Q64" s="128" t="n">
        <v>0</v>
      </c>
      <c r="R64" s="128" t="n">
        <v>0</v>
      </c>
      <c r="S64" s="128" t="n">
        <v>0</v>
      </c>
      <c r="T64" s="128" t="n">
        <v>0</v>
      </c>
      <c r="U64" s="128" t="n">
        <v>0</v>
      </c>
      <c r="V64" s="127" t="n">
        <v>1</v>
      </c>
      <c r="W64" s="128" t="n">
        <v>0</v>
      </c>
      <c r="X64" s="128" t="n">
        <v>0</v>
      </c>
      <c r="Y64" s="128" t="n">
        <v>0</v>
      </c>
      <c r="Z64" s="128" t="n">
        <v>0</v>
      </c>
      <c r="AA64" s="128" t="n">
        <v>0</v>
      </c>
      <c r="AB64" s="128" t="n">
        <v>0</v>
      </c>
      <c r="AC64" s="128" t="n">
        <v>0</v>
      </c>
      <c r="AD64" s="128" t="n">
        <v>0</v>
      </c>
      <c r="AE64" s="128" t="n">
        <v>0</v>
      </c>
      <c r="AF64" s="128" t="n">
        <v>0</v>
      </c>
      <c r="AG64" s="128" t="n">
        <v>0</v>
      </c>
      <c r="AH64" s="128" t="n">
        <v>0</v>
      </c>
      <c r="AI64" s="128" t="n">
        <v>0</v>
      </c>
      <c r="AJ64" s="128" t="n">
        <v>0</v>
      </c>
      <c r="AK64" s="128" t="n">
        <v>0</v>
      </c>
      <c r="AL64" s="128" t="n">
        <v>0</v>
      </c>
      <c r="AM64" s="128" t="n">
        <v>0</v>
      </c>
      <c r="AN64" s="128" t="n">
        <v>0</v>
      </c>
      <c r="AO64" s="128" t="n">
        <v>0</v>
      </c>
      <c r="AP64" s="128" t="n">
        <v>0</v>
      </c>
      <c r="AQ64" s="128" t="n">
        <v>0</v>
      </c>
      <c r="AS64" s="129">
        <f>IF(SUM('03_Colocation_Calc'!$T$64:$AC$64)&gt;0,1,0)</f>
        <v/>
      </c>
    </row>
    <row r="65" ht="16" customHeight="1">
      <c r="A65" s="126" t="inlineStr">
        <is>
          <t>aws-ecr</t>
        </is>
      </c>
      <c r="B65" s="126" t="inlineStr">
        <is>
          <t>Amazon Elastic Container Registry (ECR)</t>
        </is>
      </c>
      <c r="C65" s="128" t="n">
        <v>0</v>
      </c>
      <c r="D65" s="128" t="n">
        <v>0</v>
      </c>
      <c r="E65" s="128" t="n">
        <v>0</v>
      </c>
      <c r="F65" s="128" t="n">
        <v>0</v>
      </c>
      <c r="G65" s="128" t="n">
        <v>0</v>
      </c>
      <c r="H65" s="128" t="n">
        <v>0</v>
      </c>
      <c r="I65" s="128" t="n">
        <v>0</v>
      </c>
      <c r="J65" s="128" t="n">
        <v>0</v>
      </c>
      <c r="K65" s="128" t="n">
        <v>0</v>
      </c>
      <c r="L65" s="128" t="n">
        <v>0</v>
      </c>
      <c r="M65" s="128" t="n">
        <v>0</v>
      </c>
      <c r="N65" s="127" t="n">
        <v>1</v>
      </c>
      <c r="O65" s="128" t="n">
        <v>0</v>
      </c>
      <c r="P65" s="128" t="n">
        <v>0</v>
      </c>
      <c r="Q65" s="128" t="n">
        <v>0</v>
      </c>
      <c r="R65" s="128" t="n">
        <v>0</v>
      </c>
      <c r="S65" s="128" t="n">
        <v>0</v>
      </c>
      <c r="T65" s="128" t="n">
        <v>0</v>
      </c>
      <c r="U65" s="128" t="n">
        <v>0</v>
      </c>
      <c r="V65" s="127" t="n">
        <v>1</v>
      </c>
      <c r="W65" s="128" t="n">
        <v>0</v>
      </c>
      <c r="X65" s="128" t="n">
        <v>0</v>
      </c>
      <c r="Y65" s="128" t="n">
        <v>0</v>
      </c>
      <c r="Z65" s="128" t="n">
        <v>0</v>
      </c>
      <c r="AA65" s="128" t="n">
        <v>0</v>
      </c>
      <c r="AB65" s="128" t="n">
        <v>0</v>
      </c>
      <c r="AC65" s="128" t="n">
        <v>0</v>
      </c>
      <c r="AD65" s="128" t="n">
        <v>0</v>
      </c>
      <c r="AE65" s="128" t="n">
        <v>0</v>
      </c>
      <c r="AF65" s="128" t="n">
        <v>0</v>
      </c>
      <c r="AG65" s="128" t="n">
        <v>0</v>
      </c>
      <c r="AH65" s="128" t="n">
        <v>0</v>
      </c>
      <c r="AI65" s="128" t="n">
        <v>0</v>
      </c>
      <c r="AJ65" s="128" t="n">
        <v>0</v>
      </c>
      <c r="AK65" s="128" t="n">
        <v>0</v>
      </c>
      <c r="AL65" s="128" t="n">
        <v>0</v>
      </c>
      <c r="AM65" s="128" t="n">
        <v>0</v>
      </c>
      <c r="AN65" s="128" t="n">
        <v>0</v>
      </c>
      <c r="AO65" s="128" t="n">
        <v>0</v>
      </c>
      <c r="AP65" s="128" t="n">
        <v>0</v>
      </c>
      <c r="AQ65" s="128" t="n">
        <v>0</v>
      </c>
      <c r="AS65" s="129">
        <f>IF(SUM('03_Colocation_Calc'!$T$65:$AC$65)&gt;0,1,0)</f>
        <v/>
      </c>
    </row>
    <row r="66" ht="16" customHeight="1">
      <c r="A66" s="126" t="inlineStr">
        <is>
          <t>gcp-artifact-registry</t>
        </is>
      </c>
      <c r="B66" s="126" t="inlineStr">
        <is>
          <t>Google Artifact Registry (GAR)</t>
        </is>
      </c>
      <c r="C66" s="128" t="n">
        <v>0</v>
      </c>
      <c r="D66" s="128" t="n">
        <v>0</v>
      </c>
      <c r="E66" s="128" t="n">
        <v>0</v>
      </c>
      <c r="F66" s="128" t="n">
        <v>0</v>
      </c>
      <c r="G66" s="128" t="n">
        <v>0</v>
      </c>
      <c r="H66" s="128" t="n">
        <v>0</v>
      </c>
      <c r="I66" s="128" t="n">
        <v>0</v>
      </c>
      <c r="J66" s="128" t="n">
        <v>0</v>
      </c>
      <c r="K66" s="128" t="n">
        <v>0</v>
      </c>
      <c r="L66" s="128" t="n">
        <v>0</v>
      </c>
      <c r="M66" s="128" t="n">
        <v>0</v>
      </c>
      <c r="N66" s="127" t="n">
        <v>1</v>
      </c>
      <c r="O66" s="128" t="n">
        <v>0</v>
      </c>
      <c r="P66" s="127" t="n">
        <v>1</v>
      </c>
      <c r="Q66" s="128" t="n">
        <v>0</v>
      </c>
      <c r="R66" s="128" t="n">
        <v>0</v>
      </c>
      <c r="S66" s="128" t="n">
        <v>0</v>
      </c>
      <c r="T66" s="128" t="n">
        <v>0</v>
      </c>
      <c r="U66" s="128" t="n">
        <v>0</v>
      </c>
      <c r="V66" s="127" t="n">
        <v>1</v>
      </c>
      <c r="W66" s="128" t="n">
        <v>0</v>
      </c>
      <c r="X66" s="128" t="n">
        <v>0</v>
      </c>
      <c r="Y66" s="128" t="n">
        <v>0</v>
      </c>
      <c r="Z66" s="128" t="n">
        <v>0</v>
      </c>
      <c r="AA66" s="128" t="n">
        <v>0</v>
      </c>
      <c r="AB66" s="128" t="n">
        <v>0</v>
      </c>
      <c r="AC66" s="128" t="n">
        <v>0</v>
      </c>
      <c r="AD66" s="128" t="n">
        <v>0</v>
      </c>
      <c r="AE66" s="128" t="n">
        <v>0</v>
      </c>
      <c r="AF66" s="128" t="n">
        <v>0</v>
      </c>
      <c r="AG66" s="128" t="n">
        <v>0</v>
      </c>
      <c r="AH66" s="128" t="n">
        <v>0</v>
      </c>
      <c r="AI66" s="128" t="n">
        <v>0</v>
      </c>
      <c r="AJ66" s="128" t="n">
        <v>0</v>
      </c>
      <c r="AK66" s="128" t="n">
        <v>0</v>
      </c>
      <c r="AL66" s="128" t="n">
        <v>0</v>
      </c>
      <c r="AM66" s="128" t="n">
        <v>0</v>
      </c>
      <c r="AN66" s="128" t="n">
        <v>0</v>
      </c>
      <c r="AO66" s="128" t="n">
        <v>0</v>
      </c>
      <c r="AP66" s="128" t="n">
        <v>0</v>
      </c>
      <c r="AQ66" s="128" t="n">
        <v>0</v>
      </c>
      <c r="AS66" s="129">
        <f>IF(SUM('03_Colocation_Calc'!$T$66:$AC$66)&gt;0,1,0)</f>
        <v/>
      </c>
    </row>
    <row r="67" ht="16" customHeight="1">
      <c r="A67" s="126" t="inlineStr">
        <is>
          <t>azure-kubernetes-service</t>
        </is>
      </c>
      <c r="B67" s="126" t="inlineStr">
        <is>
          <t>Azure Kubernetes Service (AKS)</t>
        </is>
      </c>
      <c r="C67" s="128" t="n">
        <v>0</v>
      </c>
      <c r="D67" s="128" t="n">
        <v>0</v>
      </c>
      <c r="E67" s="128" t="n">
        <v>0</v>
      </c>
      <c r="F67" s="128" t="n">
        <v>0</v>
      </c>
      <c r="G67" s="128" t="n">
        <v>0</v>
      </c>
      <c r="H67" s="128" t="n">
        <v>0</v>
      </c>
      <c r="I67" s="128" t="n">
        <v>0</v>
      </c>
      <c r="J67" s="128" t="n">
        <v>0</v>
      </c>
      <c r="K67" s="128" t="n">
        <v>0</v>
      </c>
      <c r="L67" s="128" t="n">
        <v>0</v>
      </c>
      <c r="M67" s="128" t="n">
        <v>0</v>
      </c>
      <c r="N67" s="128" t="n">
        <v>0</v>
      </c>
      <c r="O67" s="128" t="n">
        <v>0</v>
      </c>
      <c r="P67" s="128" t="n">
        <v>0</v>
      </c>
      <c r="Q67" s="128" t="n">
        <v>0</v>
      </c>
      <c r="R67" s="128" t="n">
        <v>0</v>
      </c>
      <c r="S67" s="128" t="n">
        <v>0</v>
      </c>
      <c r="T67" s="128" t="n">
        <v>0</v>
      </c>
      <c r="U67" s="128" t="n">
        <v>0</v>
      </c>
      <c r="V67" s="128" t="n">
        <v>0</v>
      </c>
      <c r="W67" s="128" t="n">
        <v>0</v>
      </c>
      <c r="X67" s="128" t="n">
        <v>0</v>
      </c>
      <c r="Y67" s="128" t="n">
        <v>0</v>
      </c>
      <c r="Z67" s="128" t="n">
        <v>0</v>
      </c>
      <c r="AA67" s="128" t="n">
        <v>0</v>
      </c>
      <c r="AB67" s="128" t="n">
        <v>0</v>
      </c>
      <c r="AC67" s="127" t="n">
        <v>1</v>
      </c>
      <c r="AD67" s="127" t="n">
        <v>1</v>
      </c>
      <c r="AE67" s="127" t="n">
        <v>1</v>
      </c>
      <c r="AF67" s="127" t="n">
        <v>1</v>
      </c>
      <c r="AG67" s="128" t="n">
        <v>0</v>
      </c>
      <c r="AH67" s="128" t="n">
        <v>0</v>
      </c>
      <c r="AI67" s="128" t="n">
        <v>0</v>
      </c>
      <c r="AJ67" s="128" t="n">
        <v>0</v>
      </c>
      <c r="AK67" s="128" t="n">
        <v>0</v>
      </c>
      <c r="AL67" s="128" t="n">
        <v>0</v>
      </c>
      <c r="AM67" s="128" t="n">
        <v>0</v>
      </c>
      <c r="AN67" s="128" t="n">
        <v>0</v>
      </c>
      <c r="AO67" s="128" t="n">
        <v>0</v>
      </c>
      <c r="AP67" s="128" t="n">
        <v>0</v>
      </c>
      <c r="AQ67" s="128" t="n">
        <v>0</v>
      </c>
      <c r="AS67" s="129">
        <f>IF(SUM('03_Colocation_Calc'!$T$67:$AC$67)&gt;0,1,0)</f>
        <v/>
      </c>
    </row>
    <row r="68" ht="16" customHeight="1">
      <c r="A68" s="126" t="inlineStr">
        <is>
          <t>aws-eks</t>
        </is>
      </c>
      <c r="B68" s="126" t="inlineStr">
        <is>
          <t>Amazon Elastic Kubernetes Service (EKS)</t>
        </is>
      </c>
      <c r="C68" s="128" t="n">
        <v>0</v>
      </c>
      <c r="D68" s="128" t="n">
        <v>0</v>
      </c>
      <c r="E68" s="128" t="n">
        <v>0</v>
      </c>
      <c r="F68" s="128" t="n">
        <v>0</v>
      </c>
      <c r="G68" s="128" t="n">
        <v>0</v>
      </c>
      <c r="H68" s="128" t="n">
        <v>0</v>
      </c>
      <c r="I68" s="128" t="n">
        <v>0</v>
      </c>
      <c r="J68" s="128" t="n">
        <v>0</v>
      </c>
      <c r="K68" s="128" t="n">
        <v>0</v>
      </c>
      <c r="L68" s="128" t="n">
        <v>0</v>
      </c>
      <c r="M68" s="128" t="n">
        <v>0</v>
      </c>
      <c r="N68" s="128" t="n">
        <v>0</v>
      </c>
      <c r="O68" s="128" t="n">
        <v>0</v>
      </c>
      <c r="P68" s="128" t="n">
        <v>0</v>
      </c>
      <c r="Q68" s="128" t="n">
        <v>0</v>
      </c>
      <c r="R68" s="128" t="n">
        <v>0</v>
      </c>
      <c r="S68" s="128" t="n">
        <v>0</v>
      </c>
      <c r="T68" s="128" t="n">
        <v>0</v>
      </c>
      <c r="U68" s="128" t="n">
        <v>0</v>
      </c>
      <c r="V68" s="128" t="n">
        <v>0</v>
      </c>
      <c r="W68" s="128" t="n">
        <v>0</v>
      </c>
      <c r="X68" s="128" t="n">
        <v>0</v>
      </c>
      <c r="Y68" s="128" t="n">
        <v>0</v>
      </c>
      <c r="Z68" s="128" t="n">
        <v>0</v>
      </c>
      <c r="AA68" s="128" t="n">
        <v>0</v>
      </c>
      <c r="AB68" s="128" t="n">
        <v>0</v>
      </c>
      <c r="AC68" s="127" t="n">
        <v>1</v>
      </c>
      <c r="AD68" s="127" t="n">
        <v>1</v>
      </c>
      <c r="AE68" s="127" t="n">
        <v>1</v>
      </c>
      <c r="AF68" s="127" t="n">
        <v>1</v>
      </c>
      <c r="AG68" s="128" t="n">
        <v>0</v>
      </c>
      <c r="AH68" s="128" t="n">
        <v>0</v>
      </c>
      <c r="AI68" s="128" t="n">
        <v>0</v>
      </c>
      <c r="AJ68" s="128" t="n">
        <v>0</v>
      </c>
      <c r="AK68" s="128" t="n">
        <v>0</v>
      </c>
      <c r="AL68" s="128" t="n">
        <v>0</v>
      </c>
      <c r="AM68" s="128" t="n">
        <v>0</v>
      </c>
      <c r="AN68" s="128" t="n">
        <v>0</v>
      </c>
      <c r="AO68" s="128" t="n">
        <v>0</v>
      </c>
      <c r="AP68" s="128" t="n">
        <v>0</v>
      </c>
      <c r="AQ68" s="128" t="n">
        <v>0</v>
      </c>
      <c r="AS68" s="129">
        <f>IF(SUM('03_Colocation_Calc'!$T$68:$AC$68)&gt;0,1,0)</f>
        <v/>
      </c>
    </row>
    <row r="69" ht="16" customHeight="1">
      <c r="A69" s="126" t="inlineStr">
        <is>
          <t>gcp-gke</t>
        </is>
      </c>
      <c r="B69" s="126" t="inlineStr">
        <is>
          <t>Google Kubernetes Engine (GKE)</t>
        </is>
      </c>
      <c r="C69" s="128" t="n">
        <v>0</v>
      </c>
      <c r="D69" s="128" t="n">
        <v>0</v>
      </c>
      <c r="E69" s="128" t="n">
        <v>0</v>
      </c>
      <c r="F69" s="128" t="n">
        <v>0</v>
      </c>
      <c r="G69" s="128" t="n">
        <v>0</v>
      </c>
      <c r="H69" s="128" t="n">
        <v>0</v>
      </c>
      <c r="I69" s="128" t="n">
        <v>0</v>
      </c>
      <c r="J69" s="128" t="n">
        <v>0</v>
      </c>
      <c r="K69" s="128" t="n">
        <v>0</v>
      </c>
      <c r="L69" s="128" t="n">
        <v>0</v>
      </c>
      <c r="M69" s="128" t="n">
        <v>0</v>
      </c>
      <c r="N69" s="128" t="n">
        <v>0</v>
      </c>
      <c r="O69" s="128" t="n">
        <v>0</v>
      </c>
      <c r="P69" s="128" t="n">
        <v>0</v>
      </c>
      <c r="Q69" s="128" t="n">
        <v>0</v>
      </c>
      <c r="R69" s="128" t="n">
        <v>0</v>
      </c>
      <c r="S69" s="128" t="n">
        <v>0</v>
      </c>
      <c r="T69" s="128" t="n">
        <v>0</v>
      </c>
      <c r="U69" s="128" t="n">
        <v>0</v>
      </c>
      <c r="V69" s="128" t="n">
        <v>0</v>
      </c>
      <c r="W69" s="128" t="n">
        <v>0</v>
      </c>
      <c r="X69" s="128" t="n">
        <v>0</v>
      </c>
      <c r="Y69" s="128" t="n">
        <v>0</v>
      </c>
      <c r="Z69" s="128" t="n">
        <v>0</v>
      </c>
      <c r="AA69" s="128" t="n">
        <v>0</v>
      </c>
      <c r="AB69" s="128" t="n">
        <v>0</v>
      </c>
      <c r="AC69" s="127" t="n">
        <v>1</v>
      </c>
      <c r="AD69" s="127" t="n">
        <v>1</v>
      </c>
      <c r="AE69" s="127" t="n">
        <v>1</v>
      </c>
      <c r="AF69" s="127" t="n">
        <v>1</v>
      </c>
      <c r="AG69" s="128" t="n">
        <v>0</v>
      </c>
      <c r="AH69" s="128" t="n">
        <v>0</v>
      </c>
      <c r="AI69" s="128" t="n">
        <v>0</v>
      </c>
      <c r="AJ69" s="128" t="n">
        <v>0</v>
      </c>
      <c r="AK69" s="128" t="n">
        <v>0</v>
      </c>
      <c r="AL69" s="128" t="n">
        <v>0</v>
      </c>
      <c r="AM69" s="128" t="n">
        <v>0</v>
      </c>
      <c r="AN69" s="128" t="n">
        <v>0</v>
      </c>
      <c r="AO69" s="128" t="n">
        <v>0</v>
      </c>
      <c r="AP69" s="128" t="n">
        <v>0</v>
      </c>
      <c r="AQ69" s="128" t="n">
        <v>0</v>
      </c>
      <c r="AS69" s="129">
        <f>IF(SUM('03_Colocation_Calc'!$T$69:$AC$69)&gt;0,1,0)</f>
        <v/>
      </c>
    </row>
    <row r="70" ht="16" customHeight="1">
      <c r="A70" s="126" t="inlineStr">
        <is>
          <t>azure-key-vault</t>
        </is>
      </c>
      <c r="B70" s="126" t="inlineStr">
        <is>
          <t>Azure Key Vault</t>
        </is>
      </c>
      <c r="C70" s="128" t="n">
        <v>0</v>
      </c>
      <c r="D70" s="128" t="n">
        <v>0</v>
      </c>
      <c r="E70" s="128" t="n">
        <v>0</v>
      </c>
      <c r="F70" s="128" t="n">
        <v>0</v>
      </c>
      <c r="G70" s="128" t="n">
        <v>0</v>
      </c>
      <c r="H70" s="128" t="n">
        <v>0</v>
      </c>
      <c r="I70" s="128" t="n">
        <v>0</v>
      </c>
      <c r="J70" s="128" t="n">
        <v>0</v>
      </c>
      <c r="K70" s="128" t="n">
        <v>0</v>
      </c>
      <c r="L70" s="128" t="n">
        <v>0</v>
      </c>
      <c r="M70" s="128" t="n">
        <v>0</v>
      </c>
      <c r="N70" s="128" t="n">
        <v>0</v>
      </c>
      <c r="O70" s="128" t="n">
        <v>0</v>
      </c>
      <c r="P70" s="128" t="n">
        <v>0</v>
      </c>
      <c r="Q70" s="128" t="n">
        <v>0</v>
      </c>
      <c r="R70" s="128" t="n">
        <v>0</v>
      </c>
      <c r="S70" s="128" t="n">
        <v>0</v>
      </c>
      <c r="T70" s="128" t="n">
        <v>0</v>
      </c>
      <c r="U70" s="128" t="n">
        <v>0</v>
      </c>
      <c r="V70" s="128" t="n">
        <v>0</v>
      </c>
      <c r="W70" s="128" t="n">
        <v>0</v>
      </c>
      <c r="X70" s="128" t="n">
        <v>0</v>
      </c>
      <c r="Y70" s="128" t="n">
        <v>0</v>
      </c>
      <c r="Z70" s="128" t="n">
        <v>0</v>
      </c>
      <c r="AA70" s="128" t="n">
        <v>0</v>
      </c>
      <c r="AB70" s="128" t="n">
        <v>0</v>
      </c>
      <c r="AC70" s="128" t="n">
        <v>0</v>
      </c>
      <c r="AD70" s="128" t="n">
        <v>0</v>
      </c>
      <c r="AE70" s="128" t="n">
        <v>0</v>
      </c>
      <c r="AF70" s="128" t="n">
        <v>0</v>
      </c>
      <c r="AG70" s="127" t="n">
        <v>1</v>
      </c>
      <c r="AH70" s="128" t="n">
        <v>0</v>
      </c>
      <c r="AI70" s="128" t="n">
        <v>0</v>
      </c>
      <c r="AJ70" s="127" t="n">
        <v>1</v>
      </c>
      <c r="AK70" s="128" t="n">
        <v>0</v>
      </c>
      <c r="AL70" s="128" t="n">
        <v>0</v>
      </c>
      <c r="AM70" s="128" t="n">
        <v>0</v>
      </c>
      <c r="AN70" s="128" t="n">
        <v>0</v>
      </c>
      <c r="AO70" s="127" t="n">
        <v>1</v>
      </c>
      <c r="AP70" s="128" t="n">
        <v>0</v>
      </c>
      <c r="AQ70" s="128" t="n">
        <v>0</v>
      </c>
      <c r="AS70" s="129">
        <f>IF(SUM('03_Colocation_Calc'!$T$70:$AC$70)&gt;0,1,0)</f>
        <v/>
      </c>
    </row>
    <row r="71" ht="16" customHeight="1">
      <c r="A71" s="126" t="inlineStr">
        <is>
          <t>aws-secrets-manager</t>
        </is>
      </c>
      <c r="B71" s="126" t="inlineStr">
        <is>
          <t>AWS Secrets Manager + KMS</t>
        </is>
      </c>
      <c r="C71" s="128" t="n">
        <v>0</v>
      </c>
      <c r="D71" s="128" t="n">
        <v>0</v>
      </c>
      <c r="E71" s="128" t="n">
        <v>0</v>
      </c>
      <c r="F71" s="128" t="n">
        <v>0</v>
      </c>
      <c r="G71" s="128" t="n">
        <v>0</v>
      </c>
      <c r="H71" s="128" t="n">
        <v>0</v>
      </c>
      <c r="I71" s="128" t="n">
        <v>0</v>
      </c>
      <c r="J71" s="128" t="n">
        <v>0</v>
      </c>
      <c r="K71" s="128" t="n">
        <v>0</v>
      </c>
      <c r="L71" s="128" t="n">
        <v>0</v>
      </c>
      <c r="M71" s="128" t="n">
        <v>0</v>
      </c>
      <c r="N71" s="128" t="n">
        <v>0</v>
      </c>
      <c r="O71" s="128" t="n">
        <v>0</v>
      </c>
      <c r="P71" s="128" t="n">
        <v>0</v>
      </c>
      <c r="Q71" s="128" t="n">
        <v>0</v>
      </c>
      <c r="R71" s="128" t="n">
        <v>0</v>
      </c>
      <c r="S71" s="128" t="n">
        <v>0</v>
      </c>
      <c r="T71" s="128" t="n">
        <v>0</v>
      </c>
      <c r="U71" s="128" t="n">
        <v>0</v>
      </c>
      <c r="V71" s="128" t="n">
        <v>0</v>
      </c>
      <c r="W71" s="128" t="n">
        <v>0</v>
      </c>
      <c r="X71" s="128" t="n">
        <v>0</v>
      </c>
      <c r="Y71" s="128" t="n">
        <v>0</v>
      </c>
      <c r="Z71" s="128" t="n">
        <v>0</v>
      </c>
      <c r="AA71" s="128" t="n">
        <v>0</v>
      </c>
      <c r="AB71" s="128" t="n">
        <v>0</v>
      </c>
      <c r="AC71" s="128" t="n">
        <v>0</v>
      </c>
      <c r="AD71" s="128" t="n">
        <v>0</v>
      </c>
      <c r="AE71" s="128" t="n">
        <v>0</v>
      </c>
      <c r="AF71" s="128" t="n">
        <v>0</v>
      </c>
      <c r="AG71" s="127" t="n">
        <v>1</v>
      </c>
      <c r="AH71" s="128" t="n">
        <v>0</v>
      </c>
      <c r="AI71" s="128" t="n">
        <v>0</v>
      </c>
      <c r="AJ71" s="128" t="n">
        <v>0</v>
      </c>
      <c r="AK71" s="128" t="n">
        <v>0</v>
      </c>
      <c r="AL71" s="128" t="n">
        <v>0</v>
      </c>
      <c r="AM71" s="128" t="n">
        <v>0</v>
      </c>
      <c r="AN71" s="128" t="n">
        <v>0</v>
      </c>
      <c r="AO71" s="127" t="n">
        <v>1</v>
      </c>
      <c r="AP71" s="128" t="n">
        <v>0</v>
      </c>
      <c r="AQ71" s="128" t="n">
        <v>0</v>
      </c>
      <c r="AS71" s="129">
        <f>IF(SUM('03_Colocation_Calc'!$T$71:$AC$71)&gt;0,1,0)</f>
        <v/>
      </c>
    </row>
    <row r="72" ht="16" customHeight="1">
      <c r="A72" s="126" t="inlineStr">
        <is>
          <t>azure-monitor</t>
        </is>
      </c>
      <c r="B72" s="126" t="inlineStr">
        <is>
          <t>Azure Monitor + Log Analytics + Application Insights</t>
        </is>
      </c>
      <c r="C72" s="128" t="n">
        <v>0</v>
      </c>
      <c r="D72" s="128" t="n">
        <v>0</v>
      </c>
      <c r="E72" s="128" t="n">
        <v>0</v>
      </c>
      <c r="F72" s="128" t="n">
        <v>0</v>
      </c>
      <c r="G72" s="128" t="n">
        <v>0</v>
      </c>
      <c r="H72" s="128" t="n">
        <v>0</v>
      </c>
      <c r="I72" s="128" t="n">
        <v>0</v>
      </c>
      <c r="J72" s="128" t="n">
        <v>0</v>
      </c>
      <c r="K72" s="128" t="n">
        <v>0</v>
      </c>
      <c r="L72" s="128" t="n">
        <v>0</v>
      </c>
      <c r="M72" s="128" t="n">
        <v>0</v>
      </c>
      <c r="N72" s="128" t="n">
        <v>0</v>
      </c>
      <c r="O72" s="128" t="n">
        <v>0</v>
      </c>
      <c r="P72" s="128" t="n">
        <v>0</v>
      </c>
      <c r="Q72" s="128" t="n">
        <v>0</v>
      </c>
      <c r="R72" s="128" t="n">
        <v>0</v>
      </c>
      <c r="S72" s="128" t="n">
        <v>0</v>
      </c>
      <c r="T72" s="128" t="n">
        <v>0</v>
      </c>
      <c r="U72" s="128" t="n">
        <v>0</v>
      </c>
      <c r="V72" s="128" t="n">
        <v>0</v>
      </c>
      <c r="W72" s="128" t="n">
        <v>0</v>
      </c>
      <c r="X72" s="128" t="n">
        <v>0</v>
      </c>
      <c r="Y72" s="127" t="n">
        <v>1</v>
      </c>
      <c r="Z72" s="127" t="n">
        <v>1</v>
      </c>
      <c r="AA72" s="127" t="n">
        <v>1</v>
      </c>
      <c r="AB72" s="128" t="n">
        <v>0</v>
      </c>
      <c r="AC72" s="128" t="n">
        <v>0</v>
      </c>
      <c r="AD72" s="128" t="n">
        <v>0</v>
      </c>
      <c r="AE72" s="128" t="n">
        <v>0</v>
      </c>
      <c r="AF72" s="127" t="n">
        <v>1</v>
      </c>
      <c r="AG72" s="128" t="n">
        <v>0</v>
      </c>
      <c r="AH72" s="128" t="n">
        <v>0</v>
      </c>
      <c r="AI72" s="128" t="n">
        <v>0</v>
      </c>
      <c r="AJ72" s="128" t="n">
        <v>0</v>
      </c>
      <c r="AK72" s="128" t="n">
        <v>0</v>
      </c>
      <c r="AL72" s="128" t="n">
        <v>0</v>
      </c>
      <c r="AM72" s="128" t="n">
        <v>0</v>
      </c>
      <c r="AN72" s="128" t="n">
        <v>0</v>
      </c>
      <c r="AO72" s="128" t="n">
        <v>0</v>
      </c>
      <c r="AP72" s="128" t="n">
        <v>0</v>
      </c>
      <c r="AQ72" s="128" t="n">
        <v>0</v>
      </c>
      <c r="AS72" s="129">
        <f>IF(SUM('03_Colocation_Calc'!$T$72:$AC$72)&gt;0,1,0)</f>
        <v/>
      </c>
    </row>
    <row r="73" ht="16" customHeight="1">
      <c r="A73" s="126" t="inlineStr">
        <is>
          <t>aws-cloudwatch</t>
        </is>
      </c>
      <c r="B73" s="126" t="inlineStr">
        <is>
          <t>Amazon CloudWatch + CloudTrail + X-Ray</t>
        </is>
      </c>
      <c r="C73" s="128" t="n">
        <v>0</v>
      </c>
      <c r="D73" s="128" t="n">
        <v>0</v>
      </c>
      <c r="E73" s="128" t="n">
        <v>0</v>
      </c>
      <c r="F73" s="128" t="n">
        <v>0</v>
      </c>
      <c r="G73" s="128" t="n">
        <v>0</v>
      </c>
      <c r="H73" s="128" t="n">
        <v>0</v>
      </c>
      <c r="I73" s="128" t="n">
        <v>0</v>
      </c>
      <c r="J73" s="128" t="n">
        <v>0</v>
      </c>
      <c r="K73" s="128" t="n">
        <v>0</v>
      </c>
      <c r="L73" s="128" t="n">
        <v>0</v>
      </c>
      <c r="M73" s="128" t="n">
        <v>0</v>
      </c>
      <c r="N73" s="128" t="n">
        <v>0</v>
      </c>
      <c r="O73" s="128" t="n">
        <v>0</v>
      </c>
      <c r="P73" s="128" t="n">
        <v>0</v>
      </c>
      <c r="Q73" s="128" t="n">
        <v>0</v>
      </c>
      <c r="R73" s="128" t="n">
        <v>0</v>
      </c>
      <c r="S73" s="128" t="n">
        <v>0</v>
      </c>
      <c r="T73" s="128" t="n">
        <v>0</v>
      </c>
      <c r="U73" s="128" t="n">
        <v>0</v>
      </c>
      <c r="V73" s="128" t="n">
        <v>0</v>
      </c>
      <c r="W73" s="128" t="n">
        <v>0</v>
      </c>
      <c r="X73" s="128" t="n">
        <v>0</v>
      </c>
      <c r="Y73" s="127" t="n">
        <v>1</v>
      </c>
      <c r="Z73" s="127" t="n">
        <v>1</v>
      </c>
      <c r="AA73" s="127" t="n">
        <v>1</v>
      </c>
      <c r="AB73" s="128" t="n">
        <v>0</v>
      </c>
      <c r="AC73" s="128" t="n">
        <v>0</v>
      </c>
      <c r="AD73" s="128" t="n">
        <v>0</v>
      </c>
      <c r="AE73" s="128" t="n">
        <v>0</v>
      </c>
      <c r="AF73" s="127" t="n">
        <v>1</v>
      </c>
      <c r="AG73" s="128" t="n">
        <v>0</v>
      </c>
      <c r="AH73" s="128" t="n">
        <v>0</v>
      </c>
      <c r="AI73" s="128" t="n">
        <v>0</v>
      </c>
      <c r="AJ73" s="128" t="n">
        <v>0</v>
      </c>
      <c r="AK73" s="128" t="n">
        <v>0</v>
      </c>
      <c r="AL73" s="128" t="n">
        <v>0</v>
      </c>
      <c r="AM73" s="128" t="n">
        <v>0</v>
      </c>
      <c r="AN73" s="128" t="n">
        <v>0</v>
      </c>
      <c r="AO73" s="128" t="n">
        <v>0</v>
      </c>
      <c r="AP73" s="128" t="n">
        <v>0</v>
      </c>
      <c r="AQ73" s="128" t="n">
        <v>0</v>
      </c>
      <c r="AS73" s="129">
        <f>IF(SUM('03_Colocation_Calc'!$T$73:$AC$73)&gt;0,1,0)</f>
        <v/>
      </c>
    </row>
    <row r="74" ht="16" customHeight="1">
      <c r="A74" s="126" t="inlineStr">
        <is>
          <t>gcp-cloud-operations</t>
        </is>
      </c>
      <c r="B74" s="126" t="inlineStr">
        <is>
          <t>Google Cloud Operations (Logging + Monitoring + Trace)</t>
        </is>
      </c>
      <c r="C74" s="128" t="n">
        <v>0</v>
      </c>
      <c r="D74" s="128" t="n">
        <v>0</v>
      </c>
      <c r="E74" s="128" t="n">
        <v>0</v>
      </c>
      <c r="F74" s="128" t="n">
        <v>0</v>
      </c>
      <c r="G74" s="128" t="n">
        <v>0</v>
      </c>
      <c r="H74" s="128" t="n">
        <v>0</v>
      </c>
      <c r="I74" s="128" t="n">
        <v>0</v>
      </c>
      <c r="J74" s="128" t="n">
        <v>0</v>
      </c>
      <c r="K74" s="128" t="n">
        <v>0</v>
      </c>
      <c r="L74" s="128" t="n">
        <v>0</v>
      </c>
      <c r="M74" s="128" t="n">
        <v>0</v>
      </c>
      <c r="N74" s="128" t="n">
        <v>0</v>
      </c>
      <c r="O74" s="128" t="n">
        <v>0</v>
      </c>
      <c r="P74" s="128" t="n">
        <v>0</v>
      </c>
      <c r="Q74" s="128" t="n">
        <v>0</v>
      </c>
      <c r="R74" s="128" t="n">
        <v>0</v>
      </c>
      <c r="S74" s="128" t="n">
        <v>0</v>
      </c>
      <c r="T74" s="128" t="n">
        <v>0</v>
      </c>
      <c r="U74" s="128" t="n">
        <v>0</v>
      </c>
      <c r="V74" s="128" t="n">
        <v>0</v>
      </c>
      <c r="W74" s="128" t="n">
        <v>0</v>
      </c>
      <c r="X74" s="128" t="n">
        <v>0</v>
      </c>
      <c r="Y74" s="127" t="n">
        <v>1</v>
      </c>
      <c r="Z74" s="127" t="n">
        <v>1</v>
      </c>
      <c r="AA74" s="127" t="n">
        <v>1</v>
      </c>
      <c r="AB74" s="128" t="n">
        <v>0</v>
      </c>
      <c r="AC74" s="128" t="n">
        <v>0</v>
      </c>
      <c r="AD74" s="128" t="n">
        <v>0</v>
      </c>
      <c r="AE74" s="128" t="n">
        <v>0</v>
      </c>
      <c r="AF74" s="127" t="n">
        <v>1</v>
      </c>
      <c r="AG74" s="128" t="n">
        <v>0</v>
      </c>
      <c r="AH74" s="128" t="n">
        <v>0</v>
      </c>
      <c r="AI74" s="128" t="n">
        <v>0</v>
      </c>
      <c r="AJ74" s="128" t="n">
        <v>0</v>
      </c>
      <c r="AK74" s="128" t="n">
        <v>0</v>
      </c>
      <c r="AL74" s="128" t="n">
        <v>0</v>
      </c>
      <c r="AM74" s="128" t="n">
        <v>0</v>
      </c>
      <c r="AN74" s="128" t="n">
        <v>0</v>
      </c>
      <c r="AO74" s="128" t="n">
        <v>0</v>
      </c>
      <c r="AP74" s="128" t="n">
        <v>0</v>
      </c>
      <c r="AQ74" s="128" t="n">
        <v>0</v>
      </c>
      <c r="AS74" s="129">
        <f>IF(SUM('03_Colocation_Calc'!$T$74:$AC$74)&gt;0,1,0)</f>
        <v/>
      </c>
    </row>
    <row r="76">
      <c r="B76" s="130" t="inlineStr">
        <is>
          <t>ครอบคลุมโดยเครื่องมือที่เลือกไว้ในชีท 03? (1=ใช่)</t>
        </is>
      </c>
      <c r="C76" s="131">
        <f>IF(SUMPRODUCT($AS$3:$AS$74,C3:C74)&gt;0,1,0)</f>
        <v/>
      </c>
      <c r="D76" s="131">
        <f>IF(SUMPRODUCT($AS$3:$AS$74,D3:D74)&gt;0,1,0)</f>
        <v/>
      </c>
      <c r="E76" s="131">
        <f>IF(SUMPRODUCT($AS$3:$AS$74,E3:E74)&gt;0,1,0)</f>
        <v/>
      </c>
      <c r="F76" s="131">
        <f>IF(SUMPRODUCT($AS$3:$AS$74,F3:F74)&gt;0,1,0)</f>
        <v/>
      </c>
      <c r="G76" s="131">
        <f>IF(SUMPRODUCT($AS$3:$AS$74,G3:G74)&gt;0,1,0)</f>
        <v/>
      </c>
      <c r="H76" s="131">
        <f>IF(SUMPRODUCT($AS$3:$AS$74,H3:H74)&gt;0,1,0)</f>
        <v/>
      </c>
      <c r="I76" s="131">
        <f>IF(SUMPRODUCT($AS$3:$AS$74,I3:I74)&gt;0,1,0)</f>
        <v/>
      </c>
      <c r="J76" s="131">
        <f>IF(SUMPRODUCT($AS$3:$AS$74,J3:J74)&gt;0,1,0)</f>
        <v/>
      </c>
      <c r="K76" s="131">
        <f>IF(SUMPRODUCT($AS$3:$AS$74,K3:K74)&gt;0,1,0)</f>
        <v/>
      </c>
      <c r="L76" s="131">
        <f>IF(SUMPRODUCT($AS$3:$AS$74,L3:L74)&gt;0,1,0)</f>
        <v/>
      </c>
      <c r="M76" s="131">
        <f>IF(SUMPRODUCT($AS$3:$AS$74,M3:M74)&gt;0,1,0)</f>
        <v/>
      </c>
      <c r="N76" s="131">
        <f>IF(SUMPRODUCT($AS$3:$AS$74,N3:N74)&gt;0,1,0)</f>
        <v/>
      </c>
      <c r="O76" s="131">
        <f>IF(SUMPRODUCT($AS$3:$AS$74,O3:O74)&gt;0,1,0)</f>
        <v/>
      </c>
      <c r="P76" s="131">
        <f>IF(SUMPRODUCT($AS$3:$AS$74,P3:P74)&gt;0,1,0)</f>
        <v/>
      </c>
      <c r="Q76" s="131">
        <f>IF(SUMPRODUCT($AS$3:$AS$74,Q3:Q74)&gt;0,1,0)</f>
        <v/>
      </c>
      <c r="R76" s="131">
        <f>IF(SUMPRODUCT($AS$3:$AS$74,R3:R74)&gt;0,1,0)</f>
        <v/>
      </c>
      <c r="S76" s="131">
        <f>IF(SUMPRODUCT($AS$3:$AS$74,S3:S74)&gt;0,1,0)</f>
        <v/>
      </c>
      <c r="T76" s="131">
        <f>IF(SUMPRODUCT($AS$3:$AS$74,T3:T74)&gt;0,1,0)</f>
        <v/>
      </c>
      <c r="U76" s="131">
        <f>IF(SUMPRODUCT($AS$3:$AS$74,U3:U74)&gt;0,1,0)</f>
        <v/>
      </c>
      <c r="V76" s="131">
        <f>IF(SUMPRODUCT($AS$3:$AS$74,V3:V74)&gt;0,1,0)</f>
        <v/>
      </c>
      <c r="W76" s="131">
        <f>IF(SUMPRODUCT($AS$3:$AS$74,W3:W74)&gt;0,1,0)</f>
        <v/>
      </c>
      <c r="X76" s="131">
        <f>IF(SUMPRODUCT($AS$3:$AS$74,X3:X74)&gt;0,1,0)</f>
        <v/>
      </c>
      <c r="Y76" s="131">
        <f>IF(SUMPRODUCT($AS$3:$AS$74,Y3:Y74)&gt;0,1,0)</f>
        <v/>
      </c>
      <c r="Z76" s="131">
        <f>IF(SUMPRODUCT($AS$3:$AS$74,Z3:Z74)&gt;0,1,0)</f>
        <v/>
      </c>
      <c r="AA76" s="131">
        <f>IF(SUMPRODUCT($AS$3:$AS$74,AA3:AA74)&gt;0,1,0)</f>
        <v/>
      </c>
      <c r="AB76" s="131">
        <f>IF(SUMPRODUCT($AS$3:$AS$74,AB3:AB74)&gt;0,1,0)</f>
        <v/>
      </c>
      <c r="AC76" s="131">
        <f>IF(SUMPRODUCT($AS$3:$AS$74,AC3:AC74)&gt;0,1,0)</f>
        <v/>
      </c>
      <c r="AD76" s="131">
        <f>IF(SUMPRODUCT($AS$3:$AS$74,AD3:AD74)&gt;0,1,0)</f>
        <v/>
      </c>
      <c r="AE76" s="131">
        <f>IF(SUMPRODUCT($AS$3:$AS$74,AE3:AE74)&gt;0,1,0)</f>
        <v/>
      </c>
      <c r="AF76" s="131">
        <f>IF(SUMPRODUCT($AS$3:$AS$74,AF3:AF74)&gt;0,1,0)</f>
        <v/>
      </c>
      <c r="AG76" s="131">
        <f>IF(SUMPRODUCT($AS$3:$AS$74,AG3:AG74)&gt;0,1,0)</f>
        <v/>
      </c>
      <c r="AH76" s="131">
        <f>IF(SUMPRODUCT($AS$3:$AS$74,AH3:AH74)&gt;0,1,0)</f>
        <v/>
      </c>
      <c r="AI76" s="131">
        <f>IF(SUMPRODUCT($AS$3:$AS$74,AI3:AI74)&gt;0,1,0)</f>
        <v/>
      </c>
      <c r="AJ76" s="131">
        <f>IF(SUMPRODUCT($AS$3:$AS$74,AJ3:AJ74)&gt;0,1,0)</f>
        <v/>
      </c>
      <c r="AK76" s="131">
        <f>IF(SUMPRODUCT($AS$3:$AS$74,AK3:AK74)&gt;0,1,0)</f>
        <v/>
      </c>
      <c r="AL76" s="131">
        <f>IF(SUMPRODUCT($AS$3:$AS$74,AL3:AL74)&gt;0,1,0)</f>
        <v/>
      </c>
      <c r="AM76" s="131">
        <f>IF(SUMPRODUCT($AS$3:$AS$74,AM3:AM74)&gt;0,1,0)</f>
        <v/>
      </c>
      <c r="AN76" s="131">
        <f>IF(SUMPRODUCT($AS$3:$AS$74,AN3:AN74)&gt;0,1,0)</f>
        <v/>
      </c>
      <c r="AO76" s="131">
        <f>IF(SUMPRODUCT($AS$3:$AS$74,AO3:AO74)&gt;0,1,0)</f>
        <v/>
      </c>
      <c r="AP76" s="131">
        <f>IF(SUMPRODUCT($AS$3:$AS$74,AP3:AP74)&gt;0,1,0)</f>
        <v/>
      </c>
      <c r="AQ76" s="131">
        <f>IF(SUMPRODUCT($AS$3:$AS$74,AQ3:AQ74)&gt;0,1,0)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6" customWidth="1" min="5" max="5"/>
    <col width="20" customWidth="1" min="6" max="6"/>
    <col width="26" customWidth="1" min="7" max="7"/>
    <col width="14" customWidth="1" min="8" max="8"/>
    <col width="16" customWidth="1" min="9" max="9"/>
    <col width="74" customWidth="1" min="10" max="10"/>
    <col width="58" customWidth="1" min="11" max="11"/>
  </cols>
  <sheetData>
    <row r="1" ht="24" customHeight="1">
      <c r="A1" s="8" t="inlineStr">
        <is>
          <t>09 — เปรียบเทียบประเภทโครงการ 5 แบบ</t>
        </is>
      </c>
      <c r="C1" s="3" t="inlineStr">
        <is>
          <t>ใช้เลือก preset ตั้งต้นก่อนปรับรายละเอียด</t>
        </is>
      </c>
    </row>
    <row r="2" ht="46" customHeight="1">
      <c r="A2" s="9" t="inlineStr">
        <is>
          <t>profile</t>
        </is>
      </c>
      <c r="B2" s="9" t="inlineStr">
        <is>
          <t>ประเภทโครงการ</t>
        </is>
      </c>
      <c r="C2" s="9" t="inlineStr">
        <is>
          <t>ระดับ
ผลกระทบ</t>
        </is>
      </c>
      <c r="D2" s="9" t="inlineStr">
        <is>
          <t>Security</t>
        </is>
      </c>
      <c r="E2" s="9" t="inlineStr">
        <is>
          <t>เกรดเครื่องมือ
ที่แนะนำ</t>
        </is>
      </c>
      <c r="F2" s="9" t="inlineStr">
        <is>
          <t>เวลา Pipeline
ต่อรอบ</t>
        </is>
      </c>
      <c r="G2" s="9" t="inlineStr">
        <is>
          <t>ต้นทุน/ปี (บาท)</t>
        </is>
      </c>
      <c r="H2" s="9" t="inlineStr">
        <is>
          <t>Log
Retention</t>
        </is>
      </c>
      <c r="I2" s="9" t="inlineStr">
        <is>
          <t>Audit
Retention</t>
        </is>
      </c>
      <c r="J2" s="9" t="inlineStr">
        <is>
          <t>ชุดมาตรฐานตั้งต้นของประเภทนี้</t>
        </is>
      </c>
      <c r="K2" s="9" t="inlineStr">
        <is>
          <t>ข้อควรระวัง</t>
        </is>
      </c>
    </row>
    <row r="3" ht="60" customHeight="1">
      <c r="A3" s="132" t="inlineStr">
        <is>
          <t>gov</t>
        </is>
      </c>
      <c r="B3" s="118" t="inlineStr">
        <is>
          <t>ภาครัฐ / CII</t>
        </is>
      </c>
      <c r="C3" s="132" t="inlineStr">
        <is>
          <t>high</t>
        </is>
      </c>
      <c r="D3" s="132" t="inlineStr">
        <is>
          <t>สูงสุด</t>
        </is>
      </c>
      <c r="E3" s="132" t="inlineStr">
        <is>
          <t>oss</t>
        </is>
      </c>
      <c r="F3" s="119" t="inlineStr">
        <is>
          <t>6-12 ชั่วโมง/รอบ</t>
        </is>
      </c>
      <c r="G3" s="119" t="inlineStr">
        <is>
          <t>5,250,000 - 17,500,000+</t>
        </is>
      </c>
      <c r="H3" s="132" t="inlineStr">
        <is>
          <t>90 วัน</t>
        </is>
      </c>
      <c r="I3" s="132" t="inlineStr">
        <is>
          <t>2555 วัน</t>
        </is>
      </c>
      <c r="J3" s="119" t="inlineStr">
        <is>
          <t>ชุด "ภาครัฐ / CII (กฎหมายไทยครบชุด)" (11 ฉบับ): พ.ร.บ. คอมพิวเตอร์ 2550/2560, พ.ร.บ. ไซเบอร์ 2562, PDPA 2562, พ.ร.บ. ปฏิบัติราชการทางอิเล็กทรอนิกส์ 2565, มาตรฐานขั้นต่ำ 2566, มาตรฐานเว็บไซต์ 2568, มสพร. 11-2566 เว็บไซต์ภาครัฐ 3.0, ISO/IEC 27001:2022, OWASP Top 10:2025, NIST SSDF (SP 800-218), WCAG 2.2 AA</t>
        </is>
      </c>
      <c r="K3" s="119" t="inlineStr">
        <is>
          <t>On-premise/Air-gapped, ห้าม GPL/AGPL, Critical = 0, Coverage &gt; 80%, เก็บ Audit Trail 7+ ปี</t>
        </is>
      </c>
    </row>
    <row r="4" ht="60" customHeight="1">
      <c r="A4" s="132" t="inlineStr">
        <is>
          <t>enterprise</t>
        </is>
      </c>
      <c r="B4" s="118" t="inlineStr">
        <is>
          <t>เอกชน / Enterprise</t>
        </is>
      </c>
      <c r="C4" s="132" t="inlineStr">
        <is>
          <t>medium</t>
        </is>
      </c>
      <c r="D4" s="132" t="inlineStr">
        <is>
          <t>สูง</t>
        </is>
      </c>
      <c r="E4" s="132" t="inlineStr">
        <is>
          <t>mixed</t>
        </is>
      </c>
      <c r="F4" s="119" t="inlineStr">
        <is>
          <t>60-95 นาที/รอบ</t>
        </is>
      </c>
      <c r="G4" s="119" t="inlineStr">
        <is>
          <t>1,050,000 - 5,250,000</t>
        </is>
      </c>
      <c r="H4" s="132" t="inlineStr">
        <is>
          <t>90 วัน</t>
        </is>
      </c>
      <c r="I4" s="132" t="inlineStr">
        <is>
          <t>365 วัน</t>
        </is>
      </c>
      <c r="J4" s="119" t="inlineStr">
        <is>
          <t>ชุด "เอกชน / Enterprise" (9 ฉบับ): PDPA 2562, พ.ร.บ. คอมพิวเตอร์ 2550/2560, ISO/IEC 27001:2022, ISO/IEC 27701, OWASP Top 10:2025, OWASP API Top 10:2023, NIST SSDF (SP 800-218), CIS Controls v8.1, SOC 2 (TSC)</t>
        </is>
      </c>
      <c r="K4" s="119" t="inlineStr">
        <is>
          <t>Cloud + OSS ผสมได้, Canary/A-B Testing, Auto-remediation ผ่าน PR</t>
        </is>
      </c>
    </row>
    <row r="5" ht="60" customHeight="1">
      <c r="A5" s="132" t="inlineStr">
        <is>
          <t>internal</t>
        </is>
      </c>
      <c r="B5" s="118" t="inlineStr">
        <is>
          <t>Internal Dev / R&amp;D</t>
        </is>
      </c>
      <c r="C5" s="132" t="inlineStr">
        <is>
          <t>low</t>
        </is>
      </c>
      <c r="D5" s="132" t="inlineStr">
        <is>
          <t>ปานกลาง</t>
        </is>
      </c>
      <c r="E5" s="132" t="inlineStr">
        <is>
          <t>oss</t>
        </is>
      </c>
      <c r="F5" s="119" t="inlineStr">
        <is>
          <t>22-35 นาที/รอบ</t>
        </is>
      </c>
      <c r="G5" s="119" t="inlineStr">
        <is>
          <t>0 - 175,000</t>
        </is>
      </c>
      <c r="H5" s="132" t="inlineStr">
        <is>
          <t>30 วัน</t>
        </is>
      </c>
      <c r="I5" s="132" t="inlineStr">
        <is>
          <t>90 วัน</t>
        </is>
      </c>
      <c r="J5" s="119" t="inlineStr">
        <is>
          <t>ชุด "Internal Dev / R&amp;D" (4 ฉบับ): พ.ร.บ. คอมพิวเตอร์ 2550/2560, OWASP Top 10:2025, NIST SSDF (SP 800-218), CIS Controls v8.1</t>
        </is>
      </c>
      <c r="K5" s="119" t="inlineStr">
        <is>
          <t>ใช้ OSS เกือบทั้งหมด, Self-hosted, Monitoring พื้นฐาน</t>
        </is>
      </c>
    </row>
    <row r="6" ht="60" customHeight="1">
      <c r="A6" s="132" t="inlineStr">
        <is>
          <t>startup</t>
        </is>
      </c>
      <c r="B6" s="118" t="inlineStr">
        <is>
          <t>Startup / Fast-paced</t>
        </is>
      </c>
      <c r="C6" s="132" t="inlineStr">
        <is>
          <t>low</t>
        </is>
      </c>
      <c r="D6" s="132" t="inlineStr">
        <is>
          <t>พื้นฐาน</t>
        </is>
      </c>
      <c r="E6" s="132" t="inlineStr">
        <is>
          <t>saas</t>
        </is>
      </c>
      <c r="F6" s="119" t="inlineStr">
        <is>
          <t>15-25 นาที/รอบ</t>
        </is>
      </c>
      <c r="G6" s="119" t="inlineStr">
        <is>
          <t>0 - 84,000</t>
        </is>
      </c>
      <c r="H6" s="132" t="inlineStr">
        <is>
          <t>14 วัน</t>
        </is>
      </c>
      <c r="I6" s="132" t="inlineStr">
        <is>
          <t>90 วัน</t>
        </is>
      </c>
      <c r="J6" s="119" t="inlineStr">
        <is>
          <t>ชุด "Startup (ขั้นต่ำ)" (2 ฉบับ): OWASP Top 10:2025, PDPA 2562</t>
        </is>
      </c>
      <c r="K6" s="119" t="inlineStr">
        <is>
          <t>Managed/Serverless, Zero maintenance, เพิ่ม Security เมื่อ Scale</t>
        </is>
      </c>
    </row>
    <row r="7" ht="60" customHeight="1">
      <c r="A7" s="132" t="inlineStr">
        <is>
          <t>aiml</t>
        </is>
      </c>
      <c r="B7" s="118" t="inlineStr">
        <is>
          <t>AI/ML Engineering</t>
        </is>
      </c>
      <c r="C7" s="132" t="inlineStr">
        <is>
          <t>medium</t>
        </is>
      </c>
      <c r="D7" s="132" t="inlineStr">
        <is>
          <t>สูง (Data + Model)</t>
        </is>
      </c>
      <c r="E7" s="132" t="inlineStr">
        <is>
          <t>oss</t>
        </is>
      </c>
      <c r="F7" s="119" t="inlineStr">
        <is>
          <t>70-135 นาที/รอบ (+Training)</t>
        </is>
      </c>
      <c r="G7" s="119" t="inlineStr">
        <is>
          <t>1,750,000 - 7,000,000+</t>
        </is>
      </c>
      <c r="H7" s="132" t="inlineStr">
        <is>
          <t>90 วัน</t>
        </is>
      </c>
      <c r="I7" s="132" t="inlineStr">
        <is>
          <t>730 วัน</t>
        </is>
      </c>
      <c r="J7" s="119" t="inlineStr">
        <is>
          <t>ชุด "โครงการ AI/ML" (7 ฉบับ): PDPA 2562, ISO/IEC 27001:2022, ISO/IEC 42001:2023, OWASP Top 10:2025, NIST SSDF (SP 800-218), SLSA v1.0, CycloneDX / ECMA-424</t>
        </is>
      </c>
      <c r="K7" s="119" t="inlineStr">
        <is>
          <t>ต้องมี GPU Scheduling, Model Registry, Data Versioning, Drift Detection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52" customWidth="1" min="4" max="4"/>
    <col width="8" customWidth="1" min="5" max="5"/>
    <col width="9" customWidth="1" min="6" max="6"/>
    <col width="9" customWidth="1" min="7" max="7"/>
    <col width="10" customWidth="1" min="8" max="8"/>
    <col width="11" customWidth="1" min="9" max="9"/>
    <col width="62" customWidth="1" min="10" max="10"/>
  </cols>
  <sheetData>
    <row r="1" ht="24" customHeight="1">
      <c r="A1" s="8" t="inlineStr">
        <is>
          <t>10 — ผังเครื่องอ้างอิง (Reference Architectures)</t>
        </is>
      </c>
      <c r="C1" s="3" t="inlineStr">
        <is>
          <t>ผังตั้งต้นแบบทั่วไป ไม่ผูกกับโครงการใด — คัดลอกรายการเครื่องมือไปติ๊กในชีท 03 ได้</t>
        </is>
      </c>
    </row>
    <row r="2" ht="46" customHeight="1">
      <c r="A2" s="9" t="inlineStr">
        <is>
          <t>ผัง</t>
        </is>
      </c>
      <c r="B2" s="9" t="inlineStr">
        <is>
          <t>คำอธิบายผัง</t>
        </is>
      </c>
      <c r="C2" s="9" t="inlineStr">
        <is>
          <t>เครื่อง (Host)</t>
        </is>
      </c>
      <c r="D2" s="9" t="inlineStr">
        <is>
          <t>บทบาทหน้าที่</t>
        </is>
      </c>
      <c r="E2" s="9" t="inlineStr">
        <is>
          <t>จำนวน
เครื่องมือ</t>
        </is>
      </c>
      <c r="F2" s="9" t="inlineStr">
        <is>
          <t>vCPU
ที่ควรขอ</t>
        </is>
      </c>
      <c r="G2" s="9" t="inlineStr">
        <is>
          <t>RAM
ที่ควรขอ</t>
        </is>
      </c>
      <c r="H2" s="9" t="inlineStr">
        <is>
          <t>Disk OS
ที่ควรขอ</t>
        </is>
      </c>
      <c r="I2" s="9" t="inlineStr">
        <is>
          <t>Disk Data
ที่ควรขอ</t>
        </is>
      </c>
      <c r="J2" s="9" t="inlineStr">
        <is>
          <t>รายการ tool_id ที่ติดตั้งบนเครื่องนี้</t>
        </is>
      </c>
    </row>
    <row r="3" ht="40" customHeight="1">
      <c r="A3" s="133" t="inlineStr">
        <is>
          <t>ผัง 2 เครื่อง — ขนาดเล็ก / UAT / Internal Dev</t>
        </is>
      </c>
      <c r="B3" s="134" t="inlineStr">
        <is>
          <t>เหมาะกับทีม 5-15 คน, 1-3 แอปพลิเคชัน, ~10 builds/วัน — ยอมรับความเสี่ยงที่ Build กับ Log แย่งทรัพยากรกันได้ในบางช่วง</t>
        </is>
      </c>
      <c r="C3" s="135" t="inlineStr">
        <is>
          <t>CI-CONTROL-01</t>
        </is>
      </c>
      <c r="D3" s="134" t="inlineStr">
        <is>
          <t>Control (ขนาดเล็ก): Git, Pipeline, SAST และฐานข้อมูลของเครื่องมือรวมในเครื่องเดียว</t>
        </is>
      </c>
      <c r="E3" s="136" t="n">
        <v>7</v>
      </c>
      <c r="F3" s="136" t="n">
        <v>4</v>
      </c>
      <c r="G3" s="136" t="n">
        <v>8</v>
      </c>
      <c r="H3" s="136" t="n">
        <v>200</v>
      </c>
      <c r="I3" s="136" t="n">
        <v>750</v>
      </c>
      <c r="J3" s="134" t="inlineStr">
        <is>
          <t>gitea, jenkins-master, sonarqube, postgresql-tools, nginx-gateway, vault, filebeat</t>
        </is>
      </c>
    </row>
    <row r="4" ht="40" customHeight="1">
      <c r="A4" s="137" t="n"/>
      <c r="B4" s="137" t="n"/>
      <c r="C4" s="135" t="inlineStr">
        <is>
          <t>WORKER-STORE-01</t>
        </is>
      </c>
      <c r="D4" s="134" t="inlineStr">
        <is>
          <t>Worker (ขนาดเล็ก): Build, Test, Registry, Storage, Log และ Scan รวมในเครื่องเดียว</t>
        </is>
      </c>
      <c r="E4" s="136" t="n">
        <v>24</v>
      </c>
      <c r="F4" s="136" t="n">
        <v>6</v>
      </c>
      <c r="G4" s="136" t="n">
        <v>12</v>
      </c>
      <c r="H4" s="136" t="n">
        <v>1000</v>
      </c>
      <c r="I4" s="136" t="n">
        <v>3000</v>
      </c>
      <c r="J4" s="134" t="inlineStr">
        <is>
          <t>jenkins-agent, maven-gradle, docker-buildkit, unit-test-runner, semgrep, gitleaks, trivy, cosign, syft, scancode, minio, elasticsearch, kibana, owasp-zap, locust, filebeat, testcontainers, prometheus, grafana, ansible-chef, prowler, argocd, k3s-control, cbomkit</t>
        </is>
      </c>
    </row>
    <row r="5">
      <c r="C5" s="130" t="inlineStr">
        <is>
          <t>รวมทั้งผัง</t>
        </is>
      </c>
      <c r="D5" s="138" t="inlineStr">
        <is>
          <t>เครื่องมือไม่ซ้ำ 30 รายการ · คะแนน Compliance ตามประเภทโครงการ internal = 100.0%</t>
        </is>
      </c>
      <c r="F5" s="139" t="n">
        <v>10</v>
      </c>
      <c r="G5" s="139" t="n">
        <v>20</v>
      </c>
      <c r="H5" s="139" t="n">
        <v>1200</v>
      </c>
      <c r="I5" s="139" t="n">
        <v>3750</v>
      </c>
    </row>
    <row r="7" ht="40" customHeight="1">
      <c r="A7" s="140" t="inlineStr">
        <is>
          <t>ผัง 4 เครื่อง — มาตรฐาน (เอกชน / Enterprise)</t>
        </is>
      </c>
      <c r="B7" s="141" t="inlineStr">
        <is>
          <t>แยกงานที่รันค้าง 24/7 ออกจากงาน Build ที่ burst และแยกที่เก็บข้อมูลออกจาก Compute ทำให้ประเมินทรัพยากรและขยายได้ตรงจุด</t>
        </is>
      </c>
      <c r="C7" s="142" t="inlineStr">
        <is>
          <t>CI-CONTROL-01</t>
        </is>
      </c>
      <c r="D7" s="141" t="inlineStr">
        <is>
          <t>CI Control: Git Repository, Pipeline Orchestration, SAST และ Quality Gate</t>
        </is>
      </c>
      <c r="E7" s="143" t="n">
        <v>9</v>
      </c>
      <c r="F7" s="143" t="n">
        <v>4</v>
      </c>
      <c r="G7" s="143" t="n">
        <v>8</v>
      </c>
      <c r="H7" s="143" t="n">
        <v>300</v>
      </c>
      <c r="I7" s="143" t="n">
        <v>1000</v>
      </c>
      <c r="J7" s="141" t="inlineStr">
        <is>
          <t>gitea, jenkins-master, sonarqube, postgresql-tools, opa-conftest, filebeat, nginx-gateway, modsecurity, keycloak</t>
        </is>
      </c>
    </row>
    <row r="8" ht="40" customHeight="1">
      <c r="A8" s="144" t="n"/>
      <c r="B8" s="144" t="n"/>
      <c r="C8" s="142" t="inlineStr">
        <is>
          <t>BUILD-AGENT-01</t>
        </is>
      </c>
      <c r="D8" s="141" t="inlineStr">
        <is>
          <t>Build Agent: Compile, Container Build, Unit/Integration Test และสแกนใน Pipeline</t>
        </is>
      </c>
      <c r="E8" s="143" t="n">
        <v>21</v>
      </c>
      <c r="F8" s="143" t="n">
        <v>6</v>
      </c>
      <c r="G8" s="143" t="n">
        <v>12</v>
      </c>
      <c r="H8" s="143" t="n">
        <v>750</v>
      </c>
      <c r="I8" s="143" t="n">
        <v>1000</v>
      </c>
      <c r="J8" s="141" t="inlineStr">
        <is>
          <t>jenkins-agent, maven-gradle, docker-buildkit, unit-test-runner, testcontainers, semgrep, gitleaks, trivy, checkov, cosign, syft, scancode, linters, filebeat, owasp-zap, nuclei, dependency-check, locust, playwright-a11y, testssl, prowler</t>
        </is>
      </c>
    </row>
    <row r="9" ht="40" customHeight="1">
      <c r="A9" s="144" t="n"/>
      <c r="B9" s="144" t="n"/>
      <c r="C9" s="142" t="inlineStr">
        <is>
          <t>STORE-LOG-01</t>
        </is>
      </c>
      <c r="D9" s="141" t="inlineStr">
        <is>
          <t>Store &amp; Log: Container Registry, Object Storage, Secret Management, Log และ Audit Trail</t>
        </is>
      </c>
      <c r="E9" s="143" t="n">
        <v>8</v>
      </c>
      <c r="F9" s="143" t="n">
        <v>4</v>
      </c>
      <c r="G9" s="143" t="n">
        <v>8</v>
      </c>
      <c r="H9" s="143" t="n">
        <v>300</v>
      </c>
      <c r="I9" s="143" t="n">
        <v>2000</v>
      </c>
      <c r="J9" s="141" t="inlineStr">
        <is>
          <t>harbor, minio, elasticsearch, logstash, kibana, vault, redis, filebeat</t>
        </is>
      </c>
    </row>
    <row r="10" ht="40" customHeight="1">
      <c r="A10" s="137" t="n"/>
      <c r="B10" s="137" t="n"/>
      <c r="C10" s="142" t="inlineStr">
        <is>
          <t>DEPLOY-MON-01</t>
        </is>
      </c>
      <c r="D10" s="141" t="inlineStr">
        <is>
          <t>Deploy &amp; Monitor: Orchestration, GitOps, Runtime Security, Observability, Backup</t>
        </is>
      </c>
      <c r="E10" s="143" t="n">
        <v>8</v>
      </c>
      <c r="F10" s="143" t="n">
        <v>4</v>
      </c>
      <c r="G10" s="143" t="n">
        <v>8</v>
      </c>
      <c r="H10" s="143" t="n">
        <v>300</v>
      </c>
      <c r="I10" s="143" t="n">
        <v>1500</v>
      </c>
      <c r="J10" s="141" t="inlineStr">
        <is>
          <t>k3s-control, argocd, prometheus, grafana, falco, ansible-chef, velero-restic, filebeat</t>
        </is>
      </c>
    </row>
    <row r="11">
      <c r="C11" s="130" t="inlineStr">
        <is>
          <t>รวมทั้งผัง</t>
        </is>
      </c>
      <c r="D11" s="138" t="inlineStr">
        <is>
          <t>เครื่องมือไม่ซ้ำ 43 รายการ · คะแนน Compliance ตามประเภทโครงการ enterprise = 100.0%</t>
        </is>
      </c>
      <c r="F11" s="139" t="n">
        <v>18</v>
      </c>
      <c r="G11" s="139" t="n">
        <v>36</v>
      </c>
      <c r="H11" s="139" t="n">
        <v>1650</v>
      </c>
      <c r="I11" s="139" t="n">
        <v>5500</v>
      </c>
    </row>
    <row r="13" ht="40" customHeight="1">
      <c r="A13" s="133" t="inlineStr">
        <is>
          <t>ผัง 6 เครื่อง — ภาครัฐ / CII ครบตามมาตรฐานบังคับ</t>
        </is>
      </c>
      <c r="B13" s="134" t="inlineStr">
        <is>
          <t>On-premise หรือ Air-gapped, แยก Edge ที่มี WAF และ SSO ออกมา และแยกเครื่อง Security/Performance Test ไม่ให้ทับเวลากับ Pipeline หลัก</t>
        </is>
      </c>
      <c r="C13" s="135" t="inlineStr">
        <is>
          <t>EDGE-01</t>
        </is>
      </c>
      <c r="D13" s="134" t="inlineStr">
        <is>
          <t>Edge / Reverse Proxy: รับ traffic ขาเข้า, WAF, TLS Termination, SSO</t>
        </is>
      </c>
      <c r="E13" s="136" t="n">
        <v>4</v>
      </c>
      <c r="F13" s="136" t="n">
        <v>4</v>
      </c>
      <c r="G13" s="136" t="n">
        <v>8</v>
      </c>
      <c r="H13" s="136" t="n">
        <v>100</v>
      </c>
      <c r="I13" s="136" t="n">
        <v>500</v>
      </c>
      <c r="J13" s="134" t="inlineStr">
        <is>
          <t>nginx-gateway, modsecurity, keycloak, filebeat</t>
        </is>
      </c>
    </row>
    <row r="14" ht="40" customHeight="1">
      <c r="A14" s="144" t="n"/>
      <c r="B14" s="144" t="n"/>
      <c r="C14" s="135" t="inlineStr">
        <is>
          <t>CI-CONTROL-01</t>
        </is>
      </c>
      <c r="D14" s="134" t="inlineStr">
        <is>
          <t>CI Control: Git Repository, Pipeline Orchestration, SAST และ Quality Gate</t>
        </is>
      </c>
      <c r="E14" s="136" t="n">
        <v>6</v>
      </c>
      <c r="F14" s="136" t="n">
        <v>4</v>
      </c>
      <c r="G14" s="136" t="n">
        <v>8</v>
      </c>
      <c r="H14" s="136" t="n">
        <v>150</v>
      </c>
      <c r="I14" s="136" t="n">
        <v>500</v>
      </c>
      <c r="J14" s="134" t="inlineStr">
        <is>
          <t>gitea, jenkins-master, sonarqube, postgresql-tools, opa-conftest, filebeat</t>
        </is>
      </c>
    </row>
    <row r="15" ht="40" customHeight="1">
      <c r="A15" s="144" t="n"/>
      <c r="B15" s="144" t="n"/>
      <c r="C15" s="135" t="inlineStr">
        <is>
          <t>BUILD-AGENT-01</t>
        </is>
      </c>
      <c r="D15" s="134" t="inlineStr">
        <is>
          <t>Build Agent: Compile, Container Build, Unit/Integration Test และสแกนใน Pipeline</t>
        </is>
      </c>
      <c r="E15" s="136" t="n">
        <v>14</v>
      </c>
      <c r="F15" s="136" t="n">
        <v>6</v>
      </c>
      <c r="G15" s="136" t="n">
        <v>12</v>
      </c>
      <c r="H15" s="136" t="n">
        <v>500</v>
      </c>
      <c r="I15" s="136" t="n">
        <v>500</v>
      </c>
      <c r="J15" s="134" t="inlineStr">
        <is>
          <t>jenkins-agent, maven-gradle, docker-buildkit, unit-test-runner, testcontainers, semgrep, gitleaks, trivy, checkov, cosign, syft, scancode, linters, filebeat</t>
        </is>
      </c>
    </row>
    <row r="16" ht="40" customHeight="1">
      <c r="A16" s="144" t="n"/>
      <c r="B16" s="144" t="n"/>
      <c r="C16" s="135" t="inlineStr">
        <is>
          <t>SEC-TEST-01</t>
        </is>
      </c>
      <c r="D16" s="134" t="inlineStr">
        <is>
          <t>Security &amp; Performance Test: DAST, API Security, Accessibility, TLS, Load Test</t>
        </is>
      </c>
      <c r="E16" s="136" t="n">
        <v>8</v>
      </c>
      <c r="F16" s="136" t="n">
        <v>6</v>
      </c>
      <c r="G16" s="136" t="n">
        <v>12</v>
      </c>
      <c r="H16" s="136" t="n">
        <v>200</v>
      </c>
      <c r="I16" s="136" t="n">
        <v>500</v>
      </c>
      <c r="J16" s="134" t="inlineStr">
        <is>
          <t>owasp-zap, nuclei, dependency-check, playwright-a11y, testssl, locust, prowler, filebeat</t>
        </is>
      </c>
    </row>
    <row r="17" ht="40" customHeight="1">
      <c r="A17" s="144" t="n"/>
      <c r="B17" s="144" t="n"/>
      <c r="C17" s="135" t="inlineStr">
        <is>
          <t>STORE-LOG-01</t>
        </is>
      </c>
      <c r="D17" s="134" t="inlineStr">
        <is>
          <t>Store &amp; Log: Container Registry, Object Storage, Secret Management, Log และ Audit Trail</t>
        </is>
      </c>
      <c r="E17" s="136" t="n">
        <v>8</v>
      </c>
      <c r="F17" s="136" t="n">
        <v>4</v>
      </c>
      <c r="G17" s="136" t="n">
        <v>8</v>
      </c>
      <c r="H17" s="136" t="n">
        <v>300</v>
      </c>
      <c r="I17" s="136" t="n">
        <v>2000</v>
      </c>
      <c r="J17" s="134" t="inlineStr">
        <is>
          <t>harbor, minio, elasticsearch, logstash, kibana, vault, redis, filebeat</t>
        </is>
      </c>
    </row>
    <row r="18" ht="40" customHeight="1">
      <c r="A18" s="137" t="n"/>
      <c r="B18" s="137" t="n"/>
      <c r="C18" s="135" t="inlineStr">
        <is>
          <t>DEPLOY-MON-01</t>
        </is>
      </c>
      <c r="D18" s="134" t="inlineStr">
        <is>
          <t>Deploy &amp; Monitor: Orchestration, GitOps, Runtime Security, Observability, Backup</t>
        </is>
      </c>
      <c r="E18" s="136" t="n">
        <v>8</v>
      </c>
      <c r="F18" s="136" t="n">
        <v>4</v>
      </c>
      <c r="G18" s="136" t="n">
        <v>8</v>
      </c>
      <c r="H18" s="136" t="n">
        <v>300</v>
      </c>
      <c r="I18" s="136" t="n">
        <v>1500</v>
      </c>
      <c r="J18" s="134" t="inlineStr">
        <is>
          <t>k3s-control, argocd, prometheus, grafana, falco, ansible-chef, velero-restic, filebeat</t>
        </is>
      </c>
    </row>
    <row r="19">
      <c r="C19" s="130" t="inlineStr">
        <is>
          <t>รวมทั้งผัง</t>
        </is>
      </c>
      <c r="D19" s="138" t="inlineStr">
        <is>
          <t>เครื่องมือไม่ซ้ำ 43 รายการ · คะแนน Compliance ตามประเภทโครงการ gov = 100.0%</t>
        </is>
      </c>
      <c r="F19" s="139" t="n">
        <v>28</v>
      </c>
      <c r="G19" s="139" t="n">
        <v>56</v>
      </c>
      <c r="H19" s="139" t="n">
        <v>1550</v>
      </c>
      <c r="I19" s="139" t="n">
        <v>5500</v>
      </c>
    </row>
    <row r="21" ht="40" customHeight="1">
      <c r="A21" s="140" t="inlineStr">
        <is>
          <t>ผัง 5 เครื่อง — AI/ML Engineering</t>
        </is>
      </c>
      <c r="B21" s="141" t="inlineStr">
        <is>
          <t>เพิ่ม Model Registry และ Evaluation แยกจาก Pipeline ปกติ และแยก Training Node ที่ต้องมี GPU ออกไป (สภาพแวดล้อมหลายแห่งไม่รองรับ GPU จึงต้องระบุผู้รับผิดชอบใน TOR)</t>
        </is>
      </c>
      <c r="C21" s="142" t="inlineStr">
        <is>
          <t>CI-CONTROL-01</t>
        </is>
      </c>
      <c r="D21" s="141" t="inlineStr">
        <is>
          <t>CI Control: Git Repository, Pipeline Orchestration, SAST และ Quality Gate</t>
        </is>
      </c>
      <c r="E21" s="143" t="n">
        <v>8</v>
      </c>
      <c r="F21" s="143" t="n">
        <v>4</v>
      </c>
      <c r="G21" s="143" t="n">
        <v>8</v>
      </c>
      <c r="H21" s="143" t="n">
        <v>200</v>
      </c>
      <c r="I21" s="143" t="n">
        <v>750</v>
      </c>
      <c r="J21" s="141" t="inlineStr">
        <is>
          <t>gitea, jenkins-master, sonarqube, postgresql-tools, opa-conftest, filebeat, nginx-gateway, keycloak</t>
        </is>
      </c>
    </row>
    <row r="22" ht="40" customHeight="1">
      <c r="A22" s="144" t="n"/>
      <c r="B22" s="144" t="n"/>
      <c r="C22" s="142" t="inlineStr">
        <is>
          <t>BUILD-AGENT-01</t>
        </is>
      </c>
      <c r="D22" s="141" t="inlineStr">
        <is>
          <t>Build Agent: Compile, Container Build, Unit/Integration Test และสแกนใน Pipeline</t>
        </is>
      </c>
      <c r="E22" s="143" t="n">
        <v>19</v>
      </c>
      <c r="F22" s="143" t="n">
        <v>6</v>
      </c>
      <c r="G22" s="143" t="n">
        <v>12</v>
      </c>
      <c r="H22" s="143" t="n">
        <v>750</v>
      </c>
      <c r="I22" s="143" t="n">
        <v>1000</v>
      </c>
      <c r="J22" s="141" t="inlineStr">
        <is>
          <t>jenkins-agent, maven-gradle, docker-buildkit, unit-test-runner, testcontainers, semgrep, gitleaks, trivy, checkov, cosign, syft, scancode, linters, filebeat, owasp-zap, nuclei, dependency-check, locust, prowler</t>
        </is>
      </c>
    </row>
    <row r="23" ht="40" customHeight="1">
      <c r="A23" s="144" t="n"/>
      <c r="B23" s="144" t="n"/>
      <c r="C23" s="142" t="inlineStr">
        <is>
          <t>ML-REGISTRY-01</t>
        </is>
      </c>
      <c r="D23" s="141" t="inlineStr">
        <is>
          <t>ML Registry &amp; Evaluation: Experiment Tracking, Model Registry, Model/LLM Evaluation</t>
        </is>
      </c>
      <c r="E23" s="143" t="n">
        <v>8</v>
      </c>
      <c r="F23" s="143" t="n">
        <v>6</v>
      </c>
      <c r="G23" s="143" t="n">
        <v>12</v>
      </c>
      <c r="H23" s="143" t="n">
        <v>300</v>
      </c>
      <c r="I23" s="143" t="n">
        <v>4000</v>
      </c>
      <c r="J23" s="141" t="inlineStr">
        <is>
          <t>mlflow, llm-eval, minio, filebeat, elasticsearch, kibana, vault, testssl</t>
        </is>
      </c>
    </row>
    <row r="24" ht="40" customHeight="1">
      <c r="A24" s="144" t="n"/>
      <c r="B24" s="144" t="n"/>
      <c r="C24" s="142" t="inlineStr">
        <is>
          <t>ML-TRAIN-01</t>
        </is>
      </c>
      <c r="D24" s="141" t="inlineStr">
        <is>
          <t>ML Training: Fine-tune / Train โมเดล (ต้องมี GPU)</t>
        </is>
      </c>
      <c r="E24" s="143" t="n">
        <v>2</v>
      </c>
      <c r="F24" s="143" t="n">
        <v>12</v>
      </c>
      <c r="G24" s="143" t="n">
        <v>24</v>
      </c>
      <c r="H24" s="143" t="n">
        <v>300</v>
      </c>
      <c r="I24" s="143" t="n">
        <v>4000</v>
      </c>
      <c r="J24" s="141" t="inlineStr">
        <is>
          <t>gpu-training, filebeat</t>
        </is>
      </c>
    </row>
    <row r="25" ht="40" customHeight="1">
      <c r="A25" s="137" t="n"/>
      <c r="B25" s="137" t="n"/>
      <c r="C25" s="142" t="inlineStr">
        <is>
          <t>DEPLOY-MON-01</t>
        </is>
      </c>
      <c r="D25" s="141" t="inlineStr">
        <is>
          <t>Deploy &amp; Monitor: Orchestration, GitOps, Runtime Security, Observability, Backup</t>
        </is>
      </c>
      <c r="E25" s="143" t="n">
        <v>8</v>
      </c>
      <c r="F25" s="143" t="n">
        <v>4</v>
      </c>
      <c r="G25" s="143" t="n">
        <v>8</v>
      </c>
      <c r="H25" s="143" t="n">
        <v>300</v>
      </c>
      <c r="I25" s="143" t="n">
        <v>1500</v>
      </c>
      <c r="J25" s="141" t="inlineStr">
        <is>
          <t>k3s-control, argocd, prometheus, grafana, falco, ansible-chef, velero-restic, filebeat</t>
        </is>
      </c>
    </row>
    <row r="26">
      <c r="C26" s="130" t="inlineStr">
        <is>
          <t>รวมทั้งผัง</t>
        </is>
      </c>
      <c r="D26" s="138" t="inlineStr">
        <is>
          <t>เครื่องมือไม่ซ้ำ 41 รายการ · คะแนน Compliance ตามประเภทโครงการ aiml = 100.0%</t>
        </is>
      </c>
      <c r="F26" s="139" t="n">
        <v>32</v>
      </c>
      <c r="G26" s="139" t="n">
        <v>64</v>
      </c>
      <c r="H26" s="139" t="n">
        <v>1850</v>
      </c>
      <c r="I26" s="139" t="n">
        <v>11250</v>
      </c>
    </row>
    <row r="28">
      <c r="A28" s="87" t="inlineStr">
        <is>
          <t>ชุดเครื่องมือตามบทบาท (Role Bundle) ที่ใช้ประกอบผังข้างบน</t>
        </is>
      </c>
    </row>
    <row r="29" ht="22" customHeight="1">
      <c r="A29" s="9" t="inlineStr">
        <is>
          <t>bundle</t>
        </is>
      </c>
      <c r="B29" s="9" t="inlineStr">
        <is>
          <t>บทบาทหน้าที่</t>
        </is>
      </c>
      <c r="C29" s="9" t="n"/>
      <c r="D29" s="9" t="n"/>
      <c r="E29" s="9" t="inlineStr">
        <is>
          <t>จำนวน</t>
        </is>
      </c>
      <c r="F29" s="9" t="n"/>
      <c r="G29" s="9" t="n"/>
      <c r="H29" s="9" t="n"/>
      <c r="I29" s="9" t="n"/>
      <c r="J29" s="9" t="inlineStr">
        <is>
          <t>รายการ tool_id</t>
        </is>
      </c>
    </row>
    <row r="30" ht="30" customHeight="1">
      <c r="A30" s="88" t="inlineStr">
        <is>
          <t>edge</t>
        </is>
      </c>
      <c r="B30" s="80" t="inlineStr">
        <is>
          <t>Edge / Reverse Proxy: รับ traffic ขาเข้า, WAF, TLS Termination, SSO</t>
        </is>
      </c>
      <c r="E30" s="145" t="n">
        <v>4</v>
      </c>
      <c r="J30" s="80" t="inlineStr">
        <is>
          <t>nginx-gateway, modsecurity, keycloak, filebeat</t>
        </is>
      </c>
    </row>
    <row r="31" ht="30" customHeight="1">
      <c r="A31" s="88" t="inlineStr">
        <is>
          <t>ci_control</t>
        </is>
      </c>
      <c r="B31" s="80" t="inlineStr">
        <is>
          <t>CI Control: Git Repository, Pipeline Orchestration, SAST และ Quality Gate</t>
        </is>
      </c>
      <c r="E31" s="145" t="n">
        <v>6</v>
      </c>
      <c r="J31" s="80" t="inlineStr">
        <is>
          <t>gitea, jenkins-master, sonarqube, postgresql-tools, opa-conftest, filebeat</t>
        </is>
      </c>
    </row>
    <row r="32" ht="30" customHeight="1">
      <c r="A32" s="88" t="inlineStr">
        <is>
          <t>build_agent</t>
        </is>
      </c>
      <c r="B32" s="80" t="inlineStr">
        <is>
          <t>Build Agent: Compile, Container Build, Unit/Integration Test และสแกนใน Pipeline</t>
        </is>
      </c>
      <c r="E32" s="145" t="n">
        <v>14</v>
      </c>
      <c r="J32" s="80" t="inlineStr">
        <is>
          <t>jenkins-agent, maven-gradle, docker-buildkit, unit-test-runner, testcontainers, semgrep, gitleaks, trivy, checkov, cosign, syft, scancode, linters, filebeat</t>
        </is>
      </c>
    </row>
    <row r="33" ht="30" customHeight="1">
      <c r="A33" s="88" t="inlineStr">
        <is>
          <t>sec_test</t>
        </is>
      </c>
      <c r="B33" s="80" t="inlineStr">
        <is>
          <t>Security &amp; Performance Test: DAST, API Security, Accessibility, TLS, Load Test</t>
        </is>
      </c>
      <c r="E33" s="145" t="n">
        <v>8</v>
      </c>
      <c r="J33" s="80" t="inlineStr">
        <is>
          <t>owasp-zap, nuclei, dependency-check, playwright-a11y, testssl, locust, prowler, filebeat</t>
        </is>
      </c>
    </row>
    <row r="34" ht="30" customHeight="1">
      <c r="A34" s="88" t="inlineStr">
        <is>
          <t>store_log</t>
        </is>
      </c>
      <c r="B34" s="80" t="inlineStr">
        <is>
          <t>Store &amp; Log: Container Registry, Object Storage, Secret Management, Log และ Audit Trail</t>
        </is>
      </c>
      <c r="E34" s="145" t="n">
        <v>8</v>
      </c>
      <c r="J34" s="80" t="inlineStr">
        <is>
          <t>harbor, minio, elasticsearch, logstash, kibana, vault, redis, filebeat</t>
        </is>
      </c>
    </row>
    <row r="35" ht="30" customHeight="1">
      <c r="A35" s="88" t="inlineStr">
        <is>
          <t>deploy_mon</t>
        </is>
      </c>
      <c r="B35" s="80" t="inlineStr">
        <is>
          <t>Deploy &amp; Monitor: Orchestration, GitOps, Runtime Security, Observability, Backup</t>
        </is>
      </c>
      <c r="E35" s="145" t="n">
        <v>8</v>
      </c>
      <c r="J35" s="80" t="inlineStr">
        <is>
          <t>k3s-control, argocd, prometheus, grafana, falco, ansible-chef, velero-restic, filebeat</t>
        </is>
      </c>
    </row>
    <row r="36" ht="30" customHeight="1">
      <c r="A36" s="88" t="inlineStr">
        <is>
          <t>small_control</t>
        </is>
      </c>
      <c r="B36" s="80" t="inlineStr">
        <is>
          <t>Control (ขนาดเล็ก): Git, Pipeline, SAST และฐานข้อมูลของเครื่องมือรวมในเครื่องเดียว</t>
        </is>
      </c>
      <c r="E36" s="145" t="n">
        <v>7</v>
      </c>
      <c r="J36" s="80" t="inlineStr">
        <is>
          <t>gitea, jenkins-master, sonarqube, postgresql-tools, nginx-gateway, vault, filebeat</t>
        </is>
      </c>
    </row>
    <row r="37" ht="30" customHeight="1">
      <c r="A37" s="88" t="inlineStr">
        <is>
          <t>small_worker</t>
        </is>
      </c>
      <c r="B37" s="80" t="inlineStr">
        <is>
          <t>Worker (ขนาดเล็ก): Build, Test, Registry, Storage, Log และ Scan รวมในเครื่องเดียว</t>
        </is>
      </c>
      <c r="E37" s="145" t="n">
        <v>16</v>
      </c>
      <c r="J37" s="80" t="inlineStr">
        <is>
          <t>jenkins-agent, maven-gradle, docker-buildkit, unit-test-runner, semgrep, gitleaks, trivy, cosign, syft, scancode, minio, elasticsearch, kibana, owasp-zap, locust, filebeat</t>
        </is>
      </c>
    </row>
    <row r="38" ht="30" customHeight="1">
      <c r="A38" s="88" t="inlineStr">
        <is>
          <t>ml_train</t>
        </is>
      </c>
      <c r="B38" s="80" t="inlineStr">
        <is>
          <t>ML Training: Fine-tune / Train โมเดล (ต้องมี GPU)</t>
        </is>
      </c>
      <c r="E38" s="145" t="n">
        <v>2</v>
      </c>
      <c r="J38" s="80" t="inlineStr">
        <is>
          <t>gpu-training, filebeat</t>
        </is>
      </c>
    </row>
    <row r="39" ht="30" customHeight="1">
      <c r="A39" s="88" t="inlineStr">
        <is>
          <t>ml_registry</t>
        </is>
      </c>
      <c r="B39" s="80" t="inlineStr">
        <is>
          <t>ML Registry &amp; Evaluation: Experiment Tracking, Model Registry, Model/LLM Evaluation</t>
        </is>
      </c>
      <c r="E39" s="145" t="n">
        <v>4</v>
      </c>
      <c r="J39" s="80" t="inlineStr">
        <is>
          <t>mlflow, llm-eval, minio, filebeat</t>
        </is>
      </c>
    </row>
    <row r="41">
      <c r="A41" s="49" t="inlineStr">
        <is>
          <t>ค่า vCPU/RAM/Disk ข้างบนคำนวณด้วยโหมด realistic ที่ 36 เดือน Scale 1.0× เพื่อใช้เป็นจุดตั้งต้น — ค่าที่ต้องยื่นขอจริงให้ดูจากชีท 04 ซึ่งใช้โหมดและพารามิเตอร์ที่ตั้งไว้ในชีท 05</t>
        </is>
      </c>
    </row>
  </sheetData>
  <mergeCells count="18">
    <mergeCell ref="B33:D33"/>
    <mergeCell ref="B36:D36"/>
    <mergeCell ref="B37:D37"/>
    <mergeCell ref="A13:A18"/>
    <mergeCell ref="B13:B18"/>
    <mergeCell ref="A7:A10"/>
    <mergeCell ref="A21:A25"/>
    <mergeCell ref="B21:B25"/>
    <mergeCell ref="B31:D31"/>
    <mergeCell ref="B3:B4"/>
    <mergeCell ref="A3:A4"/>
    <mergeCell ref="B32:D32"/>
    <mergeCell ref="B35:D35"/>
    <mergeCell ref="B30:D30"/>
    <mergeCell ref="B7:B10"/>
    <mergeCell ref="B39:D39"/>
    <mergeCell ref="B38:D38"/>
    <mergeCell ref="B34:D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E7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30" customWidth="1" min="3" max="3"/>
    <col width="58" customWidth="1" min="4" max="4"/>
    <col width="26" customWidth="1" min="5" max="5"/>
    <col width="52" customWidth="1" min="6" max="6"/>
    <col width="9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width="5.6" customWidth="1" min="17" max="17"/>
    <col width="5.6" customWidth="1" min="18" max="18"/>
    <col width="5.6" customWidth="1" min="19" max="19"/>
    <col width="5.6" customWidth="1" min="20" max="20"/>
    <col width="5.6" customWidth="1" min="21" max="21"/>
    <col width="5.6" customWidth="1" min="22" max="22"/>
    <col width="5.6" customWidth="1" min="23" max="23"/>
    <col width="5.6" customWidth="1" min="24" max="24"/>
    <col width="5.6" customWidth="1" min="25" max="25"/>
    <col width="5.6" customWidth="1" min="26" max="26"/>
    <col width="5.6" customWidth="1" min="27" max="27"/>
    <col width="5.6" customWidth="1" min="28" max="28"/>
    <col width="5.6" customWidth="1" min="29" max="29"/>
    <col width="5.6" customWidth="1" min="30" max="30"/>
    <col width="5.6" customWidth="1" min="31" max="31"/>
    <col width="5.6" customWidth="1" min="32" max="32"/>
    <col width="5.6" customWidth="1" min="33" max="33"/>
    <col width="5.6" customWidth="1" min="34" max="34"/>
    <col width="5.6" customWidth="1" min="35" max="35"/>
    <col width="5.6" customWidth="1" min="36" max="36"/>
    <col width="5.6" customWidth="1" min="37" max="37"/>
    <col width="5.6" customWidth="1" min="38" max="38"/>
    <col width="5.6" customWidth="1" min="39" max="39"/>
    <col width="5.6" customWidth="1" min="40" max="40"/>
    <col width="5.6" customWidth="1" min="41" max="41"/>
    <col width="5.6" customWidth="1" min="42" max="42"/>
    <col width="5.6" customWidth="1" min="43" max="43"/>
    <col width="5.6" customWidth="1" min="44" max="44"/>
    <col width="5.6" customWidth="1" min="45" max="45"/>
    <col width="5.6" customWidth="1" min="46" max="46"/>
    <col width="5.6" customWidth="1" min="47" max="47"/>
    <col width="5.6" customWidth="1" min="48" max="48"/>
    <col width="5.6" customWidth="1" min="49" max="49"/>
    <col width="5.6" customWidth="1" min="50" max="50"/>
    <col width="5.6" customWidth="1" min="51" max="51"/>
    <col width="5.6" customWidth="1" min="52" max="52"/>
    <col width="5.6" customWidth="1" min="53" max="53"/>
    <col width="5.6" customWidth="1" min="54" max="54"/>
    <col width="5.6" customWidth="1" min="55" max="55"/>
    <col width="5.6" customWidth="1" min="56" max="56"/>
    <col width="5.6" customWidth="1" min="57" max="57"/>
  </cols>
  <sheetData>
    <row r="1" ht="24" customHeight="1">
      <c r="A1" s="8" t="inlineStr">
        <is>
          <t>11 — ทะเบียนกฎหมายและมาตรฐานรายฉบับ</t>
        </is>
      </c>
      <c r="C1" s="3" t="inlineStr">
        <is>
          <t>แยกไทย/สากล พร้อมเลขข้อที่อ้างแต่ละมาตรการ · ⚠ = ควรตรวจเลขที่ประกาศก่อนอ้างใน TOR</t>
        </is>
      </c>
    </row>
    <row r="2" ht="112" customHeight="1">
      <c r="A2" s="9" t="inlineStr">
        <is>
          <t>framework_id</t>
        </is>
      </c>
      <c r="B2" s="9" t="inlineStr">
        <is>
          <t>ขอบเขต</t>
        </is>
      </c>
      <c r="C2" s="9" t="inlineStr">
        <is>
          <t>กลุ่ม</t>
        </is>
      </c>
      <c r="D2" s="9" t="inlineStr">
        <is>
          <t>ชื่อมาตรฐาน</t>
        </is>
      </c>
      <c r="E2" s="9" t="inlineStr">
        <is>
          <t>หน่วยงานเจ้าของ</t>
        </is>
      </c>
      <c r="F2" s="9" t="inlineStr">
        <is>
          <t>ขอบเขตที่บังคับใช้</t>
        </is>
      </c>
      <c r="G2" s="9" t="inlineStr">
        <is>
          <t>จำนวน
มาตรการ</t>
        </is>
      </c>
      <c r="H2" s="124" t="inlineStr">
        <is>
          <t>C-SDLC-REVIEW</t>
        </is>
      </c>
      <c r="I2" s="124" t="inlineStr">
        <is>
          <t>C-SDLC-TRACE</t>
        </is>
      </c>
      <c r="J2" s="124" t="inlineStr">
        <is>
          <t>C-SDLC-SAST</t>
        </is>
      </c>
      <c r="K2" s="124" t="inlineStr">
        <is>
          <t>C-SDLC-SECRET</t>
        </is>
      </c>
      <c r="L2" s="124" t="inlineStr">
        <is>
          <t>C-SDLC-QUALITY</t>
        </is>
      </c>
      <c r="M2" s="124" t="inlineStr">
        <is>
          <t>C-SDLC-TEST</t>
        </is>
      </c>
      <c r="N2" s="124" t="inlineStr">
        <is>
          <t>C-SDLC-THREAT</t>
        </is>
      </c>
      <c r="O2" s="124" t="inlineStr">
        <is>
          <t>C-APP-ACCESS</t>
        </is>
      </c>
      <c r="P2" s="124" t="inlineStr">
        <is>
          <t>C-APP-INJECT</t>
        </is>
      </c>
      <c r="Q2" s="124" t="inlineStr">
        <is>
          <t>C-APP-AUTHN</t>
        </is>
      </c>
      <c r="R2" s="124" t="inlineStr">
        <is>
          <t>C-APP-ERROR</t>
        </is>
      </c>
      <c r="S2" s="124" t="inlineStr">
        <is>
          <t>C-APP-DAST</t>
        </is>
      </c>
      <c r="T2" s="124" t="inlineStr">
        <is>
          <t>C-APP-API</t>
        </is>
      </c>
      <c r="U2" s="124" t="inlineStr">
        <is>
          <t>C-APP-PENTEST</t>
        </is>
      </c>
      <c r="V2" s="124" t="inlineStr">
        <is>
          <t>C-APP-WAF</t>
        </is>
      </c>
      <c r="W2" s="124" t="inlineStr">
        <is>
          <t>C-SC-SBOM</t>
        </is>
      </c>
      <c r="X2" s="124" t="inlineStr">
        <is>
          <t>C-SC-SCA</t>
        </is>
      </c>
      <c r="Y2" s="124" t="inlineStr">
        <is>
          <t>C-SC-LICENSE</t>
        </is>
      </c>
      <c r="Z2" s="124" t="inlineStr">
        <is>
          <t>C-SC-SIGN</t>
        </is>
      </c>
      <c r="AA2" s="124" t="inlineStr">
        <is>
          <t>C-SC-REGISTRY</t>
        </is>
      </c>
      <c r="AB2" s="124" t="inlineStr">
        <is>
          <t>C-SC-PIN</t>
        </is>
      </c>
      <c r="AC2" s="124" t="inlineStr">
        <is>
          <t>C-SC-IMG</t>
        </is>
      </c>
      <c r="AD2" s="124" t="inlineStr">
        <is>
          <t>C-SC-CONTAINER</t>
        </is>
      </c>
      <c r="AE2" s="124" t="inlineStr">
        <is>
          <t>C-CRY-TLS</t>
        </is>
      </c>
      <c r="AF2" s="124" t="inlineStr">
        <is>
          <t>C-CRY-KEY</t>
        </is>
      </c>
      <c r="AG2" s="124" t="inlineStr">
        <is>
          <t>C-CRY-PQC</t>
        </is>
      </c>
      <c r="AH2" s="124" t="inlineStr">
        <is>
          <t>C-IAM-MFA</t>
        </is>
      </c>
      <c r="AI2" s="124" t="inlineStr">
        <is>
          <t>C-IAM-LEAST</t>
        </is>
      </c>
      <c r="AJ2" s="124" t="inlineStr">
        <is>
          <t>C-IAM-REMOTE</t>
        </is>
      </c>
      <c r="AK2" s="124" t="inlineStr">
        <is>
          <t>C-LOG-90</t>
        </is>
      </c>
      <c r="AL2" s="124" t="inlineStr">
        <is>
          <t>C-LOG-CENTRAL</t>
        </is>
      </c>
      <c r="AM2" s="124" t="inlineStr">
        <is>
          <t>C-LOG-SIEM</t>
        </is>
      </c>
      <c r="AN2" s="124" t="inlineStr">
        <is>
          <t>C-LOG-AUDIT</t>
        </is>
      </c>
      <c r="AO2" s="124" t="inlineStr">
        <is>
          <t>C-LOG-NOTIFY</t>
        </is>
      </c>
      <c r="AP2" s="124" t="inlineStr">
        <is>
          <t>C-OPS-HARDEN</t>
        </is>
      </c>
      <c r="AQ2" s="124" t="inlineStr">
        <is>
          <t>C-OPS-IAC</t>
        </is>
      </c>
      <c r="AR2" s="124" t="inlineStr">
        <is>
          <t>C-OPS-CSPM</t>
        </is>
      </c>
      <c r="AS2" s="124" t="inlineStr">
        <is>
          <t>C-OPS-RUNTIME</t>
        </is>
      </c>
      <c r="AT2" s="124" t="inlineStr">
        <is>
          <t>C-OPS-MONITOR</t>
        </is>
      </c>
      <c r="AU2" s="124" t="inlineStr">
        <is>
          <t>C-OPS-PERF</t>
        </is>
      </c>
      <c r="AV2" s="124" t="inlineStr">
        <is>
          <t>C-OPS-DEPLOY</t>
        </is>
      </c>
      <c r="AW2" s="124" t="inlineStr">
        <is>
          <t>C-OPS-BACKUP</t>
        </is>
      </c>
      <c r="AX2" s="124" t="inlineStr">
        <is>
          <t>C-OPS-BCP</t>
        </is>
      </c>
      <c r="AY2" s="124" t="inlineStr">
        <is>
          <t>C-PRV-MEASURE</t>
        </is>
      </c>
      <c r="AZ2" s="124" t="inlineStr">
        <is>
          <t>C-PRV-BREACH</t>
        </is>
      </c>
      <c r="BA2" s="124" t="inlineStr">
        <is>
          <t>C-PRV-MINIMIZE</t>
        </is>
      </c>
      <c r="BB2" s="124" t="inlineStr">
        <is>
          <t>C-WEB-A11Y</t>
        </is>
      </c>
      <c r="BC2" s="124" t="inlineStr">
        <is>
          <t>C-WEB-SELF</t>
        </is>
      </c>
      <c r="BD2" s="124" t="inlineStr">
        <is>
          <t>C-AI-GOV</t>
        </is>
      </c>
      <c r="BE2" s="124" t="inlineStr">
        <is>
          <t>C-AI-DRIFT</t>
        </is>
      </c>
    </row>
    <row r="3">
      <c r="A3" s="146" t="inlineStr">
        <is>
          <t>กฎหมายไทย (พระราชบัญญัติ / พระราชกฤษฎีกา) (5 ฉบับ)</t>
        </is>
      </c>
      <c r="B3" s="147" t="n"/>
      <c r="C3" s="147" t="n"/>
      <c r="D3" s="147" t="n"/>
      <c r="E3" s="147" t="n"/>
      <c r="F3" s="147" t="n"/>
      <c r="G3" s="147" t="n"/>
      <c r="H3" s="147" t="n"/>
      <c r="I3" s="147" t="n"/>
      <c r="J3" s="147" t="n"/>
      <c r="K3" s="147" t="n"/>
      <c r="L3" s="147" t="n"/>
      <c r="M3" s="147" t="n"/>
      <c r="N3" s="147" t="n"/>
      <c r="O3" s="147" t="n"/>
      <c r="P3" s="147" t="n"/>
      <c r="Q3" s="147" t="n"/>
      <c r="R3" s="147" t="n"/>
      <c r="S3" s="147" t="n"/>
      <c r="T3" s="147" t="n"/>
      <c r="U3" s="147" t="n"/>
      <c r="V3" s="147" t="n"/>
      <c r="W3" s="147" t="n"/>
      <c r="X3" s="147" t="n"/>
      <c r="Y3" s="147" t="n"/>
      <c r="Z3" s="147" t="n"/>
      <c r="AA3" s="147" t="n"/>
      <c r="AB3" s="147" t="n"/>
      <c r="AC3" s="147" t="n"/>
      <c r="AD3" s="147" t="n"/>
      <c r="AE3" s="147" t="n"/>
      <c r="AF3" s="147" t="n"/>
      <c r="AG3" s="147" t="n"/>
      <c r="AH3" s="147" t="n"/>
      <c r="AI3" s="147" t="n"/>
      <c r="AJ3" s="147" t="n"/>
      <c r="AK3" s="147" t="n"/>
      <c r="AL3" s="147" t="n"/>
      <c r="AM3" s="147" t="n"/>
      <c r="AN3" s="147" t="n"/>
      <c r="AO3" s="147" t="n"/>
      <c r="AP3" s="147" t="n"/>
      <c r="AQ3" s="147" t="n"/>
      <c r="AR3" s="147" t="n"/>
      <c r="AS3" s="147" t="n"/>
      <c r="AT3" s="147" t="n"/>
      <c r="AU3" s="147" t="n"/>
      <c r="AV3" s="147" t="n"/>
      <c r="AW3" s="147" t="n"/>
      <c r="AX3" s="147" t="n"/>
      <c r="AY3" s="147" t="n"/>
      <c r="AZ3" s="147" t="n"/>
      <c r="BA3" s="147" t="n"/>
      <c r="BB3" s="147" t="n"/>
      <c r="BC3" s="147" t="n"/>
      <c r="BD3" s="147" t="n"/>
      <c r="BE3" s="147" t="n"/>
    </row>
    <row r="4" ht="30" customHeight="1">
      <c r="A4" s="15" t="inlineStr">
        <is>
          <t>TH-CCA-2560</t>
        </is>
      </c>
      <c r="B4" s="17" t="inlineStr">
        <is>
          <t>ไทย</t>
        </is>
      </c>
      <c r="C4" s="15" t="inlineStr">
        <is>
          <t>th-law</t>
        </is>
      </c>
      <c r="D4" s="148" t="inlineStr">
        <is>
          <t>พ.ร.บ. ว่าด้วยการกระทำความผิดเกี่ยวกับคอมพิวเตอร์ พ.ศ. 2550 และที่แก้ไขเพิ่มเติม (ฉบับที่ 2) พ.ศ. 2560</t>
        </is>
      </c>
      <c r="E4" s="15" t="inlineStr">
        <is>
          <t>กระทรวงดิจิทัลเพื่อเศรษฐกิจและสังคม</t>
        </is>
      </c>
      <c r="F4" s="16" t="inlineStr">
        <is>
          <t>ผู้ให้บริการต้องเก็บข้อมูลจราจรทางคอมพิวเตอร์ไม่น้อยกว่า 90 วัน</t>
        </is>
      </c>
      <c r="G4" s="17" t="n">
        <v>3</v>
      </c>
      <c r="H4" s="149" t="n"/>
      <c r="I4" s="149" t="n"/>
      <c r="J4" s="149" t="n"/>
      <c r="K4" s="149" t="n"/>
      <c r="L4" s="149" t="n"/>
      <c r="M4" s="149" t="n"/>
      <c r="N4" s="149" t="n"/>
      <c r="O4" s="149" t="n"/>
      <c r="P4" s="149" t="n"/>
      <c r="Q4" s="149" t="n"/>
      <c r="R4" s="149" t="n"/>
      <c r="S4" s="149" t="n"/>
      <c r="T4" s="149" t="n"/>
      <c r="U4" s="149" t="n"/>
      <c r="V4" s="149" t="n"/>
      <c r="W4" s="149" t="n"/>
      <c r="X4" s="149" t="n"/>
      <c r="Y4" s="149" t="n"/>
      <c r="Z4" s="149" t="n"/>
      <c r="AA4" s="149" t="n"/>
      <c r="AB4" s="149" t="n"/>
      <c r="AC4" s="149" t="n"/>
      <c r="AD4" s="149" t="n"/>
      <c r="AE4" s="149" t="n"/>
      <c r="AF4" s="149" t="n"/>
      <c r="AG4" s="149" t="n"/>
      <c r="AH4" s="149" t="n"/>
      <c r="AI4" s="149" t="n"/>
      <c r="AJ4" s="149" t="n"/>
      <c r="AK4" s="150" t="inlineStr">
        <is>
          <t>✓</t>
        </is>
      </c>
      <c r="AL4" s="150" t="inlineStr">
        <is>
          <t>✓</t>
        </is>
      </c>
      <c r="AM4" s="149" t="n"/>
      <c r="AN4" s="150" t="inlineStr">
        <is>
          <t>✓</t>
        </is>
      </c>
      <c r="AO4" s="149" t="n"/>
      <c r="AP4" s="149" t="n"/>
      <c r="AQ4" s="149" t="n"/>
      <c r="AR4" s="149" t="n"/>
      <c r="AS4" s="149" t="n"/>
      <c r="AT4" s="149" t="n"/>
      <c r="AU4" s="149" t="n"/>
      <c r="AV4" s="149" t="n"/>
      <c r="AW4" s="149" t="n"/>
      <c r="AX4" s="149" t="n"/>
      <c r="AY4" s="149" t="n"/>
      <c r="AZ4" s="149" t="n"/>
      <c r="BA4" s="149" t="n"/>
      <c r="BB4" s="149" t="n"/>
      <c r="BC4" s="149" t="n"/>
      <c r="BD4" s="149" t="n"/>
      <c r="BE4" s="149" t="n"/>
    </row>
    <row r="5" ht="30" customHeight="1">
      <c r="A5" s="15" t="inlineStr">
        <is>
          <t>TH-CYBER-2562</t>
        </is>
      </c>
      <c r="B5" s="17" t="inlineStr">
        <is>
          <t>ไทย</t>
        </is>
      </c>
      <c r="C5" s="15" t="inlineStr">
        <is>
          <t>th-law</t>
        </is>
      </c>
      <c r="D5" s="148" t="inlineStr">
        <is>
          <t>พ.ร.บ. การรักษาความมั่นคงปลอดภัยไซเบอร์ พ.ศ. 2562</t>
        </is>
      </c>
      <c r="E5" s="15" t="inlineStr">
        <is>
          <t>สกมช. (NCSA)</t>
        </is>
      </c>
      <c r="F5" s="16" t="inlineStr">
        <is>
          <t>หน่วยงานรัฐและโครงสร้างพื้นฐานสำคัญ (CII) 7 ภาคส่วน</t>
        </is>
      </c>
      <c r="G5" s="17" t="n">
        <v>6</v>
      </c>
      <c r="H5" s="149" t="n"/>
      <c r="I5" s="149" t="n"/>
      <c r="J5" s="149" t="n"/>
      <c r="K5" s="149" t="n"/>
      <c r="L5" s="149" t="n"/>
      <c r="M5" s="149" t="n"/>
      <c r="N5" s="149" t="n"/>
      <c r="O5" s="149" t="n"/>
      <c r="P5" s="149" t="n"/>
      <c r="Q5" s="149" t="n"/>
      <c r="R5" s="149" t="n"/>
      <c r="S5" s="149" t="n"/>
      <c r="T5" s="149" t="n"/>
      <c r="U5" s="150" t="inlineStr">
        <is>
          <t>✓</t>
        </is>
      </c>
      <c r="V5" s="149" t="n"/>
      <c r="W5" s="149" t="n"/>
      <c r="X5" s="149" t="n"/>
      <c r="Y5" s="149" t="n"/>
      <c r="Z5" s="149" t="n"/>
      <c r="AA5" s="149" t="n"/>
      <c r="AB5" s="149" t="n"/>
      <c r="AC5" s="149" t="n"/>
      <c r="AD5" s="149" t="n"/>
      <c r="AE5" s="149" t="n"/>
      <c r="AF5" s="149" t="n"/>
      <c r="AG5" s="149" t="n"/>
      <c r="AH5" s="149" t="n"/>
      <c r="AI5" s="149" t="n"/>
      <c r="AJ5" s="149" t="n"/>
      <c r="AK5" s="149" t="n"/>
      <c r="AL5" s="149" t="n"/>
      <c r="AM5" s="150" t="inlineStr">
        <is>
          <t>✓</t>
        </is>
      </c>
      <c r="AN5" s="150" t="inlineStr">
        <is>
          <t>✓</t>
        </is>
      </c>
      <c r="AO5" s="150" t="inlineStr">
        <is>
          <t>✓</t>
        </is>
      </c>
      <c r="AP5" s="149" t="n"/>
      <c r="AQ5" s="149" t="n"/>
      <c r="AR5" s="149" t="n"/>
      <c r="AS5" s="149" t="n"/>
      <c r="AT5" s="149" t="n"/>
      <c r="AU5" s="149" t="n"/>
      <c r="AV5" s="150" t="inlineStr">
        <is>
          <t>✓</t>
        </is>
      </c>
      <c r="AW5" s="149" t="n"/>
      <c r="AX5" s="150" t="inlineStr">
        <is>
          <t>✓</t>
        </is>
      </c>
      <c r="AY5" s="149" t="n"/>
      <c r="AZ5" s="149" t="n"/>
      <c r="BA5" s="149" t="n"/>
      <c r="BB5" s="149" t="n"/>
      <c r="BC5" s="149" t="n"/>
      <c r="BD5" s="149" t="n"/>
      <c r="BE5" s="149" t="n"/>
    </row>
    <row r="6" ht="30" customHeight="1">
      <c r="A6" s="15" t="inlineStr">
        <is>
          <t>TH-PDPA-2562</t>
        </is>
      </c>
      <c r="B6" s="17" t="inlineStr">
        <is>
          <t>ไทย</t>
        </is>
      </c>
      <c r="C6" s="15" t="inlineStr">
        <is>
          <t>th-law</t>
        </is>
      </c>
      <c r="D6" s="148" t="inlineStr">
        <is>
          <t>พ.ร.บ. คุ้มครองข้อมูลส่วนบุคคล พ.ศ. 2562 (PDPA)</t>
        </is>
      </c>
      <c r="E6" s="15" t="inlineStr">
        <is>
          <t>PDPC</t>
        </is>
      </c>
      <c r="F6" s="16" t="inlineStr">
        <is>
          <t>ทุกองค์กรที่เก็บ ใช้ หรือเปิดเผยข้อมูลส่วนบุคคล</t>
        </is>
      </c>
      <c r="G6" s="17" t="n">
        <v>6</v>
      </c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49" t="n"/>
      <c r="R6" s="149" t="n"/>
      <c r="S6" s="149" t="n"/>
      <c r="T6" s="149" t="n"/>
      <c r="U6" s="149" t="n"/>
      <c r="V6" s="149" t="n"/>
      <c r="W6" s="149" t="n"/>
      <c r="X6" s="149" t="n"/>
      <c r="Y6" s="149" t="n"/>
      <c r="Z6" s="149" t="n"/>
      <c r="AA6" s="149" t="n"/>
      <c r="AB6" s="149" t="n"/>
      <c r="AC6" s="149" t="n"/>
      <c r="AD6" s="149" t="n"/>
      <c r="AE6" s="149" t="n"/>
      <c r="AF6" s="150" t="inlineStr">
        <is>
          <t>✓</t>
        </is>
      </c>
      <c r="AG6" s="149" t="n"/>
      <c r="AH6" s="149" t="n"/>
      <c r="AI6" s="150" t="inlineStr">
        <is>
          <t>✓</t>
        </is>
      </c>
      <c r="AJ6" s="149" t="n"/>
      <c r="AK6" s="149" t="n"/>
      <c r="AL6" s="149" t="n"/>
      <c r="AM6" s="149" t="n"/>
      <c r="AN6" s="150" t="inlineStr">
        <is>
          <t>✓</t>
        </is>
      </c>
      <c r="AO6" s="149" t="n"/>
      <c r="AP6" s="149" t="n"/>
      <c r="AQ6" s="149" t="n"/>
      <c r="AR6" s="149" t="n"/>
      <c r="AS6" s="149" t="n"/>
      <c r="AT6" s="149" t="n"/>
      <c r="AU6" s="149" t="n"/>
      <c r="AV6" s="149" t="n"/>
      <c r="AW6" s="149" t="n"/>
      <c r="AX6" s="149" t="n"/>
      <c r="AY6" s="150" t="inlineStr">
        <is>
          <t>✓</t>
        </is>
      </c>
      <c r="AZ6" s="150" t="inlineStr">
        <is>
          <t>✓</t>
        </is>
      </c>
      <c r="BA6" s="150" t="inlineStr">
        <is>
          <t>✓</t>
        </is>
      </c>
      <c r="BB6" s="149" t="n"/>
      <c r="BC6" s="149" t="n"/>
      <c r="BD6" s="149" t="n"/>
      <c r="BE6" s="149" t="n"/>
    </row>
    <row r="7" ht="30" customHeight="1">
      <c r="A7" s="15" t="inlineStr">
        <is>
          <t>TH-EGOV-2565</t>
        </is>
      </c>
      <c r="B7" s="17" t="inlineStr">
        <is>
          <t>ไทย</t>
        </is>
      </c>
      <c r="C7" s="15" t="inlineStr">
        <is>
          <t>th-law</t>
        </is>
      </c>
      <c r="D7" s="148" t="inlineStr">
        <is>
          <t>พ.ร.บ. การปฏิบัติราชการทางอิเล็กทรอนิกส์ พ.ศ. 2565</t>
        </is>
      </c>
      <c r="E7" s="15" t="inlineStr">
        <is>
          <t>สำนักงาน ก.พ.ร. / DGA</t>
        </is>
      </c>
      <c r="F7" s="16" t="inlineStr">
        <is>
          <t>การให้บริการและติดต่อราชการผ่านช่องทางอิเล็กทรอนิกส์</t>
        </is>
      </c>
      <c r="G7" s="17" t="n">
        <v>3</v>
      </c>
      <c r="H7" s="149" t="n"/>
      <c r="I7" s="150" t="inlineStr">
        <is>
          <t>✓</t>
        </is>
      </c>
      <c r="J7" s="149" t="n"/>
      <c r="K7" s="149" t="n"/>
      <c r="L7" s="149" t="n"/>
      <c r="M7" s="149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  <c r="AA7" s="149" t="n"/>
      <c r="AB7" s="149" t="n"/>
      <c r="AC7" s="149" t="n"/>
      <c r="AD7" s="149" t="n"/>
      <c r="AE7" s="150" t="inlineStr">
        <is>
          <t>✓</t>
        </is>
      </c>
      <c r="AF7" s="149" t="n"/>
      <c r="AG7" s="149" t="n"/>
      <c r="AH7" s="149" t="n"/>
      <c r="AI7" s="149" t="n"/>
      <c r="AJ7" s="149" t="n"/>
      <c r="AK7" s="149" t="n"/>
      <c r="AL7" s="149" t="n"/>
      <c r="AM7" s="149" t="n"/>
      <c r="AN7" s="150" t="inlineStr">
        <is>
          <t>✓</t>
        </is>
      </c>
      <c r="AO7" s="149" t="n"/>
      <c r="AP7" s="149" t="n"/>
      <c r="AQ7" s="149" t="n"/>
      <c r="AR7" s="149" t="n"/>
      <c r="AS7" s="149" t="n"/>
      <c r="AT7" s="149" t="n"/>
      <c r="AU7" s="149" t="n"/>
      <c r="AV7" s="149" t="n"/>
      <c r="AW7" s="149" t="n"/>
      <c r="AX7" s="149" t="n"/>
      <c r="AY7" s="149" t="n"/>
      <c r="AZ7" s="149" t="n"/>
      <c r="BA7" s="149" t="n"/>
      <c r="BB7" s="149" t="n"/>
      <c r="BC7" s="149" t="n"/>
      <c r="BD7" s="149" t="n"/>
      <c r="BE7" s="149" t="n"/>
    </row>
    <row r="8" ht="30" customHeight="1">
      <c r="A8" s="15" t="inlineStr">
        <is>
          <t>TH-SECURE-TXN-2553 ⚠</t>
        </is>
      </c>
      <c r="B8" s="17" t="inlineStr">
        <is>
          <t>ไทย</t>
        </is>
      </c>
      <c r="C8" s="15" t="inlineStr">
        <is>
          <t>th-law</t>
        </is>
      </c>
      <c r="D8" s="148" t="inlineStr">
        <is>
          <t>พ.ร.ฎ. กำหนดวิธีการแบบปลอดภัยในการทำธุรกรรมทางอิเล็กทรอนิกส์ พ.ศ. 2553</t>
        </is>
      </c>
      <c r="E8" s="15" t="inlineStr">
        <is>
          <t>ETDA</t>
        </is>
      </c>
      <c r="F8" s="16" t="inlineStr">
        <is>
          <t>ธุรกรรมทางอิเล็กทรอนิกส์ที่ต้องใช้วิธีการแบบปลอดภัยระดับพื้นฐานถึงเคร่งครัด</t>
        </is>
      </c>
      <c r="G8" s="17" t="n">
        <v>4</v>
      </c>
      <c r="H8" s="149" t="n"/>
      <c r="I8" s="149" t="n"/>
      <c r="J8" s="149" t="n"/>
      <c r="K8" s="149" t="n"/>
      <c r="L8" s="149" t="n"/>
      <c r="M8" s="149" t="n"/>
      <c r="N8" s="149" t="n"/>
      <c r="O8" s="149" t="n"/>
      <c r="P8" s="149" t="n"/>
      <c r="Q8" s="149" t="n"/>
      <c r="R8" s="149" t="n"/>
      <c r="S8" s="149" t="n"/>
      <c r="T8" s="149" t="n"/>
      <c r="U8" s="149" t="n"/>
      <c r="V8" s="149" t="n"/>
      <c r="W8" s="149" t="n"/>
      <c r="X8" s="149" t="n"/>
      <c r="Y8" s="149" t="n"/>
      <c r="Z8" s="149" t="n"/>
      <c r="AA8" s="149" t="n"/>
      <c r="AB8" s="149" t="n"/>
      <c r="AC8" s="149" t="n"/>
      <c r="AD8" s="149" t="n"/>
      <c r="AE8" s="150" t="inlineStr">
        <is>
          <t>✓</t>
        </is>
      </c>
      <c r="AF8" s="149" t="n"/>
      <c r="AG8" s="149" t="n"/>
      <c r="AH8" s="150" t="inlineStr">
        <is>
          <t>✓</t>
        </is>
      </c>
      <c r="AI8" s="149" t="n"/>
      <c r="AJ8" s="149" t="n"/>
      <c r="AK8" s="149" t="n"/>
      <c r="AL8" s="150" t="inlineStr">
        <is>
          <t>✓</t>
        </is>
      </c>
      <c r="AM8" s="149" t="n"/>
      <c r="AN8" s="149" t="n"/>
      <c r="AO8" s="149" t="n"/>
      <c r="AP8" s="149" t="n"/>
      <c r="AQ8" s="149" t="n"/>
      <c r="AR8" s="149" t="n"/>
      <c r="AS8" s="149" t="n"/>
      <c r="AT8" s="149" t="n"/>
      <c r="AU8" s="149" t="n"/>
      <c r="AV8" s="149" t="n"/>
      <c r="AW8" s="150" t="inlineStr">
        <is>
          <t>✓</t>
        </is>
      </c>
      <c r="AX8" s="149" t="n"/>
      <c r="AY8" s="149" t="n"/>
      <c r="AZ8" s="149" t="n"/>
      <c r="BA8" s="149" t="n"/>
      <c r="BB8" s="149" t="n"/>
      <c r="BC8" s="149" t="n"/>
      <c r="BD8" s="149" t="n"/>
      <c r="BE8" s="149" t="n"/>
    </row>
    <row r="10">
      <c r="A10" s="146" t="inlineStr">
        <is>
          <t>ประกาศ สกมช. (NCSA) (4 ฉบับ)</t>
        </is>
      </c>
      <c r="B10" s="147" t="n"/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147" t="n"/>
      <c r="L10" s="147" t="n"/>
      <c r="M10" s="147" t="n"/>
      <c r="N10" s="147" t="n"/>
      <c r="O10" s="147" t="n"/>
      <c r="P10" s="147" t="n"/>
      <c r="Q10" s="147" t="n"/>
      <c r="R10" s="147" t="n"/>
      <c r="S10" s="147" t="n"/>
      <c r="T10" s="147" t="n"/>
      <c r="U10" s="147" t="n"/>
      <c r="V10" s="147" t="n"/>
      <c r="W10" s="147" t="n"/>
      <c r="X10" s="147" t="n"/>
      <c r="Y10" s="147" t="n"/>
      <c r="Z10" s="147" t="n"/>
      <c r="AA10" s="147" t="n"/>
      <c r="AB10" s="147" t="n"/>
      <c r="AC10" s="147" t="n"/>
      <c r="AD10" s="147" t="n"/>
      <c r="AE10" s="147" t="n"/>
      <c r="AF10" s="147" t="n"/>
      <c r="AG10" s="147" t="n"/>
      <c r="AH10" s="147" t="n"/>
      <c r="AI10" s="147" t="n"/>
      <c r="AJ10" s="147" t="n"/>
      <c r="AK10" s="147" t="n"/>
      <c r="AL10" s="147" t="n"/>
      <c r="AM10" s="147" t="n"/>
      <c r="AN10" s="147" t="n"/>
      <c r="AO10" s="147" t="n"/>
      <c r="AP10" s="147" t="n"/>
      <c r="AQ10" s="147" t="n"/>
      <c r="AR10" s="147" t="n"/>
      <c r="AS10" s="147" t="n"/>
      <c r="AT10" s="147" t="n"/>
      <c r="AU10" s="147" t="n"/>
      <c r="AV10" s="147" t="n"/>
      <c r="AW10" s="147" t="n"/>
      <c r="AX10" s="147" t="n"/>
      <c r="AY10" s="147" t="n"/>
      <c r="AZ10" s="147" t="n"/>
      <c r="BA10" s="147" t="n"/>
      <c r="BB10" s="147" t="n"/>
      <c r="BC10" s="147" t="n"/>
      <c r="BD10" s="147" t="n"/>
      <c r="BE10" s="147" t="n"/>
    </row>
    <row r="11" ht="30" customHeight="1">
      <c r="A11" s="15" t="inlineStr">
        <is>
          <t>TH-NCSA-MIN-2566</t>
        </is>
      </c>
      <c r="B11" s="17" t="inlineStr">
        <is>
          <t>ไทย</t>
        </is>
      </c>
      <c r="C11" s="15" t="inlineStr">
        <is>
          <t>th-ncsa</t>
        </is>
      </c>
      <c r="D11" s="148" t="inlineStr">
        <is>
          <t>มาตรฐานขั้นต่ำของข้อมูลหรือระบบสารสนเทศ พ.ศ. 2566</t>
        </is>
      </c>
      <c r="E11" s="15" t="inlineStr">
        <is>
          <t>สกมช. (NCSA)</t>
        </is>
      </c>
      <c r="F11" s="16" t="inlineStr">
        <is>
          <t>จัดระดับผลกระทบ ต่ำ / กลาง / สูง แล้วบังคับมาตรการตามระดับ</t>
        </is>
      </c>
      <c r="G11" s="17" t="n">
        <v>9</v>
      </c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S11" s="149" t="n"/>
      <c r="T11" s="149" t="n"/>
      <c r="U11" s="150" t="inlineStr">
        <is>
          <t>✓</t>
        </is>
      </c>
      <c r="V11" s="149" t="n"/>
      <c r="W11" s="150" t="inlineStr">
        <is>
          <t>✓</t>
        </is>
      </c>
      <c r="X11" s="150" t="inlineStr">
        <is>
          <t>✓</t>
        </is>
      </c>
      <c r="Y11" s="149" t="n"/>
      <c r="Z11" s="149" t="n"/>
      <c r="AA11" s="149" t="n"/>
      <c r="AB11" s="149" t="n"/>
      <c r="AC11" s="149" t="n"/>
      <c r="AD11" s="149" t="n"/>
      <c r="AE11" s="149" t="n"/>
      <c r="AF11" s="149" t="n"/>
      <c r="AG11" s="149" t="n"/>
      <c r="AH11" s="149" t="n"/>
      <c r="AI11" s="149" t="n"/>
      <c r="AJ11" s="150" t="inlineStr">
        <is>
          <t>✓</t>
        </is>
      </c>
      <c r="AK11" s="150" t="inlineStr">
        <is>
          <t>✓</t>
        </is>
      </c>
      <c r="AL11" s="149" t="n"/>
      <c r="AM11" s="149" t="n"/>
      <c r="AN11" s="150" t="inlineStr">
        <is>
          <t>✓</t>
        </is>
      </c>
      <c r="AO11" s="149" t="n"/>
      <c r="AP11" s="150" t="inlineStr">
        <is>
          <t>✓</t>
        </is>
      </c>
      <c r="AQ11" s="149" t="n"/>
      <c r="AR11" s="149" t="n"/>
      <c r="AS11" s="149" t="n"/>
      <c r="AT11" s="149" t="n"/>
      <c r="AU11" s="149" t="n"/>
      <c r="AV11" s="149" t="n"/>
      <c r="AW11" s="150" t="inlineStr">
        <is>
          <t>✓</t>
        </is>
      </c>
      <c r="AX11" s="150" t="inlineStr">
        <is>
          <t>✓</t>
        </is>
      </c>
      <c r="AY11" s="149" t="n"/>
      <c r="AZ11" s="149" t="n"/>
      <c r="BA11" s="149" t="n"/>
      <c r="BB11" s="149" t="n"/>
      <c r="BC11" s="149" t="n"/>
      <c r="BD11" s="149" t="n"/>
      <c r="BE11" s="149" t="n"/>
    </row>
    <row r="12" ht="30" customHeight="1">
      <c r="A12" s="15" t="inlineStr">
        <is>
          <t>TH-NCSA-CLOUD-2567</t>
        </is>
      </c>
      <c r="B12" s="17" t="inlineStr">
        <is>
          <t>ไทย</t>
        </is>
      </c>
      <c r="C12" s="15" t="inlineStr">
        <is>
          <t>th-ncsa</t>
        </is>
      </c>
      <c r="D12" s="148" t="inlineStr">
        <is>
          <t>มาตรฐานความมั่นคงปลอดภัยระบบคลาวด์ พ.ศ. 2567</t>
        </is>
      </c>
      <c r="E12" s="15" t="inlineStr">
        <is>
          <t>สกมช. (NCSA)</t>
        </is>
      </c>
      <c r="F12" s="16" t="inlineStr">
        <is>
          <t>การใช้บริการคลาวด์ของหน่วยงานรัฐภายใต้นโยบาย Cloud First</t>
        </is>
      </c>
      <c r="G12" s="17" t="n">
        <v>6</v>
      </c>
      <c r="H12" s="149" t="n"/>
      <c r="I12" s="149" t="n"/>
      <c r="J12" s="149" t="n"/>
      <c r="K12" s="149" t="n"/>
      <c r="L12" s="149" t="n"/>
      <c r="M12" s="149" t="n"/>
      <c r="N12" s="149" t="n"/>
      <c r="O12" s="149" t="n"/>
      <c r="P12" s="149" t="n"/>
      <c r="Q12" s="149" t="n"/>
      <c r="R12" s="149" t="n"/>
      <c r="S12" s="149" t="n"/>
      <c r="T12" s="149" t="n"/>
      <c r="U12" s="149" t="n"/>
      <c r="V12" s="149" t="n"/>
      <c r="W12" s="149" t="n"/>
      <c r="X12" s="149" t="n"/>
      <c r="Y12" s="149" t="n"/>
      <c r="Z12" s="149" t="n"/>
      <c r="AA12" s="149" t="n"/>
      <c r="AB12" s="149" t="n"/>
      <c r="AC12" s="149" t="n"/>
      <c r="AD12" s="149" t="n"/>
      <c r="AE12" s="149" t="n"/>
      <c r="AF12" s="150" t="inlineStr">
        <is>
          <t>✓</t>
        </is>
      </c>
      <c r="AG12" s="149" t="n"/>
      <c r="AH12" s="149" t="n"/>
      <c r="AI12" s="150" t="inlineStr">
        <is>
          <t>✓</t>
        </is>
      </c>
      <c r="AJ12" s="149" t="n"/>
      <c r="AK12" s="149" t="n"/>
      <c r="AL12" s="150" t="inlineStr">
        <is>
          <t>✓</t>
        </is>
      </c>
      <c r="AM12" s="149" t="n"/>
      <c r="AN12" s="149" t="n"/>
      <c r="AO12" s="149" t="n"/>
      <c r="AP12" s="149" t="n"/>
      <c r="AQ12" s="150" t="inlineStr">
        <is>
          <t>✓</t>
        </is>
      </c>
      <c r="AR12" s="150" t="inlineStr">
        <is>
          <t>✓</t>
        </is>
      </c>
      <c r="AS12" s="149" t="n"/>
      <c r="AT12" s="150" t="inlineStr">
        <is>
          <t>✓</t>
        </is>
      </c>
      <c r="AU12" s="149" t="n"/>
      <c r="AV12" s="149" t="n"/>
      <c r="AW12" s="149" t="n"/>
      <c r="AX12" s="149" t="n"/>
      <c r="AY12" s="149" t="n"/>
      <c r="AZ12" s="149" t="n"/>
      <c r="BA12" s="149" t="n"/>
      <c r="BB12" s="149" t="n"/>
      <c r="BC12" s="149" t="n"/>
      <c r="BD12" s="149" t="n"/>
      <c r="BE12" s="149" t="n"/>
    </row>
    <row r="13" ht="30" customHeight="1">
      <c r="A13" s="15" t="inlineStr">
        <is>
          <t>TH-NCSA-WEB-2568</t>
        </is>
      </c>
      <c r="B13" s="17" t="inlineStr">
        <is>
          <t>ไทย</t>
        </is>
      </c>
      <c r="C13" s="15" t="inlineStr">
        <is>
          <t>th-ncsa</t>
        </is>
      </c>
      <c r="D13" s="148" t="inlineStr">
        <is>
          <t>มาตรฐานการรักษาความมั่นคงปลอดภัยเว็บไซต์ พ.ศ. 2568</t>
        </is>
      </c>
      <c r="E13" s="15" t="inlineStr">
        <is>
          <t>สกมช. (NCSA)</t>
        </is>
      </c>
      <c r="F13" s="16" t="inlineStr">
        <is>
          <t>เว็บไซต์และเว็บแอปพลิเคชันของหน่วยงานรัฐ ทั้ง On-premise และคลาวด์</t>
        </is>
      </c>
      <c r="G13" s="17" t="n">
        <v>9</v>
      </c>
      <c r="H13" s="149" t="n"/>
      <c r="I13" s="149" t="n"/>
      <c r="J13" s="150" t="inlineStr">
        <is>
          <t>✓</t>
        </is>
      </c>
      <c r="K13" s="149" t="n"/>
      <c r="L13" s="149" t="n"/>
      <c r="M13" s="149" t="n"/>
      <c r="N13" s="149" t="n"/>
      <c r="O13" s="149" t="n"/>
      <c r="P13" s="149" t="n"/>
      <c r="Q13" s="149" t="n"/>
      <c r="R13" s="149" t="n"/>
      <c r="S13" s="149" t="n"/>
      <c r="T13" s="149" t="n"/>
      <c r="U13" s="150" t="inlineStr">
        <is>
          <t>✓</t>
        </is>
      </c>
      <c r="V13" s="150" t="inlineStr">
        <is>
          <t>✓</t>
        </is>
      </c>
      <c r="W13" s="149" t="n"/>
      <c r="X13" s="149" t="n"/>
      <c r="Y13" s="149" t="n"/>
      <c r="Z13" s="149" t="n"/>
      <c r="AA13" s="149" t="n"/>
      <c r="AB13" s="149" t="n"/>
      <c r="AC13" s="149" t="n"/>
      <c r="AD13" s="149" t="n"/>
      <c r="AE13" s="150" t="inlineStr">
        <is>
          <t>✓</t>
        </is>
      </c>
      <c r="AF13" s="149" t="n"/>
      <c r="AG13" s="149" t="n"/>
      <c r="AH13" s="150" t="inlineStr">
        <is>
          <t>✓</t>
        </is>
      </c>
      <c r="AI13" s="149" t="n"/>
      <c r="AJ13" s="149" t="n"/>
      <c r="AK13" s="149" t="n"/>
      <c r="AL13" s="150" t="inlineStr">
        <is>
          <t>✓</t>
        </is>
      </c>
      <c r="AM13" s="150" t="inlineStr">
        <is>
          <t>✓</t>
        </is>
      </c>
      <c r="AN13" s="149" t="n"/>
      <c r="AO13" s="149" t="n"/>
      <c r="AP13" s="149" t="n"/>
      <c r="AQ13" s="149" t="n"/>
      <c r="AR13" s="149" t="n"/>
      <c r="AS13" s="149" t="n"/>
      <c r="AT13" s="149" t="n"/>
      <c r="AU13" s="149" t="n"/>
      <c r="AV13" s="149" t="n"/>
      <c r="AW13" s="150" t="inlineStr">
        <is>
          <t>✓</t>
        </is>
      </c>
      <c r="AX13" s="149" t="n"/>
      <c r="AY13" s="149" t="n"/>
      <c r="AZ13" s="149" t="n"/>
      <c r="BA13" s="149" t="n"/>
      <c r="BB13" s="149" t="n"/>
      <c r="BC13" s="150" t="inlineStr">
        <is>
          <t>✓</t>
        </is>
      </c>
      <c r="BD13" s="149" t="n"/>
      <c r="BE13" s="149" t="n"/>
    </row>
    <row r="14" ht="30" customHeight="1">
      <c r="A14" s="15" t="inlineStr">
        <is>
          <t>TH-NCSA-RAM-2564 ⚠</t>
        </is>
      </c>
      <c r="B14" s="17" t="inlineStr">
        <is>
          <t>ไทย</t>
        </is>
      </c>
      <c r="C14" s="15" t="inlineStr">
        <is>
          <t>th-ncsa</t>
        </is>
      </c>
      <c r="D14" s="148" t="inlineStr">
        <is>
          <t>ประมวลแนวทางปฏิบัติและกรอบมาตรฐานด้านการรักษาความมั่นคงปลอดภัยไซเบอร์ พ.ศ. 2564</t>
        </is>
      </c>
      <c r="E14" s="15" t="inlineStr">
        <is>
          <t>สกมช. (NCSA)</t>
        </is>
      </c>
      <c r="F14" s="16" t="inlineStr">
        <is>
          <t>กรอบการประเมินความเสี่ยงและการปฏิบัติสำหรับหน่วยงานภายใต้กฎหมายไซเบอร์</t>
        </is>
      </c>
      <c r="G14" s="17" t="n">
        <v>4</v>
      </c>
      <c r="H14" s="149" t="n"/>
      <c r="I14" s="149" t="n"/>
      <c r="J14" s="149" t="n"/>
      <c r="K14" s="149" t="n"/>
      <c r="L14" s="149" t="n"/>
      <c r="M14" s="149" t="n"/>
      <c r="N14" s="149" t="n"/>
      <c r="O14" s="149" t="n"/>
      <c r="P14" s="149" t="n"/>
      <c r="Q14" s="149" t="n"/>
      <c r="R14" s="149" t="n"/>
      <c r="S14" s="149" t="n"/>
      <c r="T14" s="149" t="n"/>
      <c r="U14" s="150" t="inlineStr">
        <is>
          <t>✓</t>
        </is>
      </c>
      <c r="V14" s="149" t="n"/>
      <c r="W14" s="149" t="n"/>
      <c r="X14" s="149" t="n"/>
      <c r="Y14" s="149" t="n"/>
      <c r="Z14" s="149" t="n"/>
      <c r="AA14" s="149" t="n"/>
      <c r="AB14" s="149" t="n"/>
      <c r="AC14" s="149" t="n"/>
      <c r="AD14" s="149" t="n"/>
      <c r="AE14" s="149" t="n"/>
      <c r="AF14" s="149" t="n"/>
      <c r="AG14" s="149" t="n"/>
      <c r="AH14" s="149" t="n"/>
      <c r="AI14" s="149" t="n"/>
      <c r="AJ14" s="149" t="n"/>
      <c r="AK14" s="149" t="n"/>
      <c r="AL14" s="149" t="n"/>
      <c r="AM14" s="150" t="inlineStr">
        <is>
          <t>✓</t>
        </is>
      </c>
      <c r="AN14" s="149" t="n"/>
      <c r="AO14" s="149" t="n"/>
      <c r="AP14" s="150" t="inlineStr">
        <is>
          <t>✓</t>
        </is>
      </c>
      <c r="AQ14" s="149" t="n"/>
      <c r="AR14" s="149" t="n"/>
      <c r="AS14" s="149" t="n"/>
      <c r="AT14" s="149" t="n"/>
      <c r="AU14" s="149" t="n"/>
      <c r="AV14" s="149" t="n"/>
      <c r="AW14" s="149" t="n"/>
      <c r="AX14" s="150" t="inlineStr">
        <is>
          <t>✓</t>
        </is>
      </c>
      <c r="AY14" s="149" t="n"/>
      <c r="AZ14" s="149" t="n"/>
      <c r="BA14" s="149" t="n"/>
      <c r="BB14" s="149" t="n"/>
      <c r="BC14" s="149" t="n"/>
      <c r="BD14" s="149" t="n"/>
      <c r="BE14" s="149" t="n"/>
    </row>
    <row r="16">
      <c r="A16" s="146" t="inlineStr">
        <is>
          <t>ประกาศคณะกรรมการคุ้มครองข้อมูลส่วนบุคคล (PDPC) (2 ฉบับ)</t>
        </is>
      </c>
      <c r="B16" s="147" t="n"/>
      <c r="C16" s="147" t="n"/>
      <c r="D16" s="147" t="n"/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7" t="n"/>
      <c r="N16" s="147" t="n"/>
      <c r="O16" s="147" t="n"/>
      <c r="P16" s="147" t="n"/>
      <c r="Q16" s="147" t="n"/>
      <c r="R16" s="147" t="n"/>
      <c r="S16" s="147" t="n"/>
      <c r="T16" s="147" t="n"/>
      <c r="U16" s="147" t="n"/>
      <c r="V16" s="147" t="n"/>
      <c r="W16" s="147" t="n"/>
      <c r="X16" s="147" t="n"/>
      <c r="Y16" s="147" t="n"/>
      <c r="Z16" s="147" t="n"/>
      <c r="AA16" s="147" t="n"/>
      <c r="AB16" s="147" t="n"/>
      <c r="AC16" s="147" t="n"/>
      <c r="AD16" s="147" t="n"/>
      <c r="AE16" s="147" t="n"/>
      <c r="AF16" s="147" t="n"/>
      <c r="AG16" s="147" t="n"/>
      <c r="AH16" s="147" t="n"/>
      <c r="AI16" s="147" t="n"/>
      <c r="AJ16" s="147" t="n"/>
      <c r="AK16" s="147" t="n"/>
      <c r="AL16" s="147" t="n"/>
      <c r="AM16" s="147" t="n"/>
      <c r="AN16" s="147" t="n"/>
      <c r="AO16" s="147" t="n"/>
      <c r="AP16" s="147" t="n"/>
      <c r="AQ16" s="147" t="n"/>
      <c r="AR16" s="147" t="n"/>
      <c r="AS16" s="147" t="n"/>
      <c r="AT16" s="147" t="n"/>
      <c r="AU16" s="147" t="n"/>
      <c r="AV16" s="147" t="n"/>
      <c r="AW16" s="147" t="n"/>
      <c r="AX16" s="147" t="n"/>
      <c r="AY16" s="147" t="n"/>
      <c r="AZ16" s="147" t="n"/>
      <c r="BA16" s="147" t="n"/>
      <c r="BB16" s="147" t="n"/>
      <c r="BC16" s="147" t="n"/>
      <c r="BD16" s="147" t="n"/>
      <c r="BE16" s="147" t="n"/>
    </row>
    <row r="17" ht="30" customHeight="1">
      <c r="A17" s="15" t="inlineStr">
        <is>
          <t>TH-PDPC-SEC-2565 ⚠</t>
        </is>
      </c>
      <c r="B17" s="17" t="inlineStr">
        <is>
          <t>ไทย</t>
        </is>
      </c>
      <c r="C17" s="15" t="inlineStr">
        <is>
          <t>th-pdpc</t>
        </is>
      </c>
      <c r="D17" s="148" t="inlineStr">
        <is>
          <t>ประกาศคณะกรรมการคุ้มครองข้อมูลส่วนบุคคล เรื่อง มาตรการรักษาความมั่นคงปลอดภัยของผู้ควบคุมข้อมูลส่วนบุคคล พ.ศ. 2565</t>
        </is>
      </c>
      <c r="E17" s="15" t="inlineStr">
        <is>
          <t>PDPC</t>
        </is>
      </c>
      <c r="F17" s="16" t="inlineStr">
        <is>
          <t>มาตรการเชิงบริหาร เชิงเทคนิค และเชิงกายภาพ ที่ผู้ควบคุมข้อมูลต้องจัดให้มี</t>
        </is>
      </c>
      <c r="G17" s="17" t="n">
        <v>5</v>
      </c>
      <c r="H17" s="149" t="n"/>
      <c r="I17" s="149" t="n"/>
      <c r="J17" s="149" t="n"/>
      <c r="K17" s="149" t="n"/>
      <c r="L17" s="149" t="n"/>
      <c r="M17" s="149" t="n"/>
      <c r="N17" s="149" t="n"/>
      <c r="O17" s="149" t="n"/>
      <c r="P17" s="149" t="n"/>
      <c r="Q17" s="149" t="n"/>
      <c r="R17" s="149" t="n"/>
      <c r="S17" s="149" t="n"/>
      <c r="T17" s="149" t="n"/>
      <c r="U17" s="149" t="n"/>
      <c r="V17" s="149" t="n"/>
      <c r="W17" s="149" t="n"/>
      <c r="X17" s="149" t="n"/>
      <c r="Y17" s="149" t="n"/>
      <c r="Z17" s="149" t="n"/>
      <c r="AA17" s="149" t="n"/>
      <c r="AB17" s="149" t="n"/>
      <c r="AC17" s="149" t="n"/>
      <c r="AD17" s="149" t="n"/>
      <c r="AE17" s="150" t="inlineStr">
        <is>
          <t>✓</t>
        </is>
      </c>
      <c r="AF17" s="150" t="inlineStr">
        <is>
          <t>✓</t>
        </is>
      </c>
      <c r="AG17" s="149" t="n"/>
      <c r="AH17" s="150" t="inlineStr">
        <is>
          <t>✓</t>
        </is>
      </c>
      <c r="AI17" s="149" t="n"/>
      <c r="AJ17" s="149" t="n"/>
      <c r="AK17" s="149" t="n"/>
      <c r="AL17" s="150" t="inlineStr">
        <is>
          <t>✓</t>
        </is>
      </c>
      <c r="AM17" s="149" t="n"/>
      <c r="AN17" s="149" t="n"/>
      <c r="AO17" s="149" t="n"/>
      <c r="AP17" s="149" t="n"/>
      <c r="AQ17" s="149" t="n"/>
      <c r="AR17" s="149" t="n"/>
      <c r="AS17" s="149" t="n"/>
      <c r="AT17" s="149" t="n"/>
      <c r="AU17" s="149" t="n"/>
      <c r="AV17" s="149" t="n"/>
      <c r="AW17" s="149" t="n"/>
      <c r="AX17" s="149" t="n"/>
      <c r="AY17" s="150" t="inlineStr">
        <is>
          <t>✓</t>
        </is>
      </c>
      <c r="AZ17" s="149" t="n"/>
      <c r="BA17" s="149" t="n"/>
      <c r="BB17" s="149" t="n"/>
      <c r="BC17" s="149" t="n"/>
      <c r="BD17" s="149" t="n"/>
      <c r="BE17" s="149" t="n"/>
    </row>
    <row r="18" ht="30" customHeight="1">
      <c r="A18" s="15" t="inlineStr">
        <is>
          <t>TH-PDPC-BREACH-2565 ⚠</t>
        </is>
      </c>
      <c r="B18" s="17" t="inlineStr">
        <is>
          <t>ไทย</t>
        </is>
      </c>
      <c r="C18" s="15" t="inlineStr">
        <is>
          <t>th-pdpc</t>
        </is>
      </c>
      <c r="D18" s="148" t="inlineStr">
        <is>
          <t>ประกาศคณะกรรมการคุ้มครองข้อมูลส่วนบุคคล เรื่อง หลักเกณฑ์และวิธีการในการแจ้งเหตุการละเมิดข้อมูลส่วนบุคคล พ.ศ. 2565</t>
        </is>
      </c>
      <c r="E18" s="15" t="inlineStr">
        <is>
          <t>PDPC</t>
        </is>
      </c>
      <c r="F18" s="16" t="inlineStr">
        <is>
          <t>การประเมินความเสี่ยงและการแจ้งเหตุละเมิดภายใน 72 ชั่วโมง</t>
        </is>
      </c>
      <c r="G18" s="17" t="n">
        <v>3</v>
      </c>
      <c r="H18" s="149" t="n"/>
      <c r="I18" s="149" t="n"/>
      <c r="J18" s="149" t="n"/>
      <c r="K18" s="149" t="n"/>
      <c r="L18" s="149" t="n"/>
      <c r="M18" s="149" t="n"/>
      <c r="N18" s="149" t="n"/>
      <c r="O18" s="149" t="n"/>
      <c r="P18" s="149" t="n"/>
      <c r="Q18" s="149" t="n"/>
      <c r="R18" s="149" t="n"/>
      <c r="S18" s="149" t="n"/>
      <c r="T18" s="149" t="n"/>
      <c r="U18" s="149" t="n"/>
      <c r="V18" s="149" t="n"/>
      <c r="W18" s="149" t="n"/>
      <c r="X18" s="149" t="n"/>
      <c r="Y18" s="149" t="n"/>
      <c r="Z18" s="149" t="n"/>
      <c r="AA18" s="149" t="n"/>
      <c r="AB18" s="149" t="n"/>
      <c r="AC18" s="149" t="n"/>
      <c r="AD18" s="149" t="n"/>
      <c r="AE18" s="149" t="n"/>
      <c r="AF18" s="149" t="n"/>
      <c r="AG18" s="149" t="n"/>
      <c r="AH18" s="149" t="n"/>
      <c r="AI18" s="149" t="n"/>
      <c r="AJ18" s="149" t="n"/>
      <c r="AK18" s="149" t="n"/>
      <c r="AL18" s="149" t="n"/>
      <c r="AM18" s="150" t="inlineStr">
        <is>
          <t>✓</t>
        </is>
      </c>
      <c r="AN18" s="149" t="n"/>
      <c r="AO18" s="150" t="inlineStr">
        <is>
          <t>✓</t>
        </is>
      </c>
      <c r="AP18" s="149" t="n"/>
      <c r="AQ18" s="149" t="n"/>
      <c r="AR18" s="149" t="n"/>
      <c r="AS18" s="149" t="n"/>
      <c r="AT18" s="149" t="n"/>
      <c r="AU18" s="149" t="n"/>
      <c r="AV18" s="149" t="n"/>
      <c r="AW18" s="149" t="n"/>
      <c r="AX18" s="149" t="n"/>
      <c r="AY18" s="149" t="n"/>
      <c r="AZ18" s="150" t="inlineStr">
        <is>
          <t>✓</t>
        </is>
      </c>
      <c r="BA18" s="149" t="n"/>
      <c r="BB18" s="149" t="n"/>
      <c r="BC18" s="149" t="n"/>
      <c r="BD18" s="149" t="n"/>
      <c r="BE18" s="149" t="n"/>
    </row>
    <row r="20">
      <c r="A20" s="146" t="inlineStr">
        <is>
          <t>มาตรฐานรัฐบาลดิจิทัล (มสพร. / DGA) (2 ฉบับ)</t>
        </is>
      </c>
      <c r="B20" s="147" t="n"/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n"/>
      <c r="P20" s="147" t="n"/>
      <c r="Q20" s="147" t="n"/>
      <c r="R20" s="147" t="n"/>
      <c r="S20" s="147" t="n"/>
      <c r="T20" s="147" t="n"/>
      <c r="U20" s="147" t="n"/>
      <c r="V20" s="147" t="n"/>
      <c r="W20" s="147" t="n"/>
      <c r="X20" s="147" t="n"/>
      <c r="Y20" s="147" t="n"/>
      <c r="Z20" s="147" t="n"/>
      <c r="AA20" s="147" t="n"/>
      <c r="AB20" s="147" t="n"/>
      <c r="AC20" s="147" t="n"/>
      <c r="AD20" s="147" t="n"/>
      <c r="AE20" s="147" t="n"/>
      <c r="AF20" s="147" t="n"/>
      <c r="AG20" s="147" t="n"/>
      <c r="AH20" s="147" t="n"/>
      <c r="AI20" s="147" t="n"/>
      <c r="AJ20" s="147" t="n"/>
      <c r="AK20" s="147" t="n"/>
      <c r="AL20" s="147" t="n"/>
      <c r="AM20" s="147" t="n"/>
      <c r="AN20" s="147" t="n"/>
      <c r="AO20" s="147" t="n"/>
      <c r="AP20" s="147" t="n"/>
      <c r="AQ20" s="147" t="n"/>
      <c r="AR20" s="147" t="n"/>
      <c r="AS20" s="147" t="n"/>
      <c r="AT20" s="147" t="n"/>
      <c r="AU20" s="147" t="n"/>
      <c r="AV20" s="147" t="n"/>
      <c r="AW20" s="147" t="n"/>
      <c r="AX20" s="147" t="n"/>
      <c r="AY20" s="147" t="n"/>
      <c r="AZ20" s="147" t="n"/>
      <c r="BA20" s="147" t="n"/>
      <c r="BB20" s="147" t="n"/>
      <c r="BC20" s="147" t="n"/>
      <c r="BD20" s="147" t="n"/>
      <c r="BE20" s="147" t="n"/>
    </row>
    <row r="21" ht="30" customHeight="1">
      <c r="A21" s="15" t="inlineStr">
        <is>
          <t>TH-DGA-MSPR11-2566</t>
        </is>
      </c>
      <c r="B21" s="17" t="inlineStr">
        <is>
          <t>ไทย</t>
        </is>
      </c>
      <c r="C21" s="15" t="inlineStr">
        <is>
          <t>th-dga</t>
        </is>
      </c>
      <c r="D21" s="148" t="inlineStr">
        <is>
          <t>มสพร. 11-2566 มาตรฐานเว็บไซต์ภาครัฐ เวอร์ชัน 3.0</t>
        </is>
      </c>
      <c r="E21" s="15" t="inlineStr">
        <is>
          <t>DGA (สพร.)</t>
        </is>
      </c>
      <c r="F21" s="16" t="inlineStr">
        <is>
          <t>เว็บไซต์ .go.th — โครงสร้าง 8 ส่วน, WCAG 2.1/2.2 AA, TLS 1.2/1.3, Open Data</t>
        </is>
      </c>
      <c r="G21" s="17" t="n">
        <v>5</v>
      </c>
      <c r="H21" s="149" t="n"/>
      <c r="I21" s="149" t="n"/>
      <c r="J21" s="149" t="n"/>
      <c r="K21" s="149" t="n"/>
      <c r="L21" s="149" t="n"/>
      <c r="M21" s="149" t="n"/>
      <c r="N21" s="149" t="n"/>
      <c r="O21" s="149" t="n"/>
      <c r="P21" s="149" t="n"/>
      <c r="Q21" s="149" t="n"/>
      <c r="R21" s="149" t="n"/>
      <c r="S21" s="149" t="n"/>
      <c r="T21" s="149" t="n"/>
      <c r="U21" s="149" t="n"/>
      <c r="V21" s="150" t="inlineStr">
        <is>
          <t>✓</t>
        </is>
      </c>
      <c r="W21" s="149" t="n"/>
      <c r="X21" s="149" t="n"/>
      <c r="Y21" s="149" t="n"/>
      <c r="Z21" s="149" t="n"/>
      <c r="AA21" s="149" t="n"/>
      <c r="AB21" s="149" t="n"/>
      <c r="AC21" s="149" t="n"/>
      <c r="AD21" s="149" t="n"/>
      <c r="AE21" s="150" t="inlineStr">
        <is>
          <t>✓</t>
        </is>
      </c>
      <c r="AF21" s="149" t="n"/>
      <c r="AG21" s="149" t="n"/>
      <c r="AH21" s="149" t="n"/>
      <c r="AI21" s="149" t="n"/>
      <c r="AJ21" s="149" t="n"/>
      <c r="AK21" s="149" t="n"/>
      <c r="AL21" s="149" t="n"/>
      <c r="AM21" s="149" t="n"/>
      <c r="AN21" s="149" t="n"/>
      <c r="AO21" s="149" t="n"/>
      <c r="AP21" s="149" t="n"/>
      <c r="AQ21" s="149" t="n"/>
      <c r="AR21" s="149" t="n"/>
      <c r="AS21" s="149" t="n"/>
      <c r="AT21" s="149" t="n"/>
      <c r="AU21" s="149" t="n"/>
      <c r="AV21" s="149" t="n"/>
      <c r="AW21" s="150" t="inlineStr">
        <is>
          <t>✓</t>
        </is>
      </c>
      <c r="AX21" s="149" t="n"/>
      <c r="AY21" s="150" t="inlineStr">
        <is>
          <t>✓</t>
        </is>
      </c>
      <c r="AZ21" s="149" t="n"/>
      <c r="BA21" s="149" t="n"/>
      <c r="BB21" s="150" t="inlineStr">
        <is>
          <t>✓</t>
        </is>
      </c>
      <c r="BC21" s="149" t="n"/>
      <c r="BD21" s="149" t="n"/>
      <c r="BE21" s="149" t="n"/>
    </row>
    <row r="22" ht="30" customHeight="1">
      <c r="A22" s="15" t="inlineStr">
        <is>
          <t>TH-DGA-OPENDATA ⚠</t>
        </is>
      </c>
      <c r="B22" s="17" t="inlineStr">
        <is>
          <t>ไทย</t>
        </is>
      </c>
      <c r="C22" s="15" t="inlineStr">
        <is>
          <t>th-dga</t>
        </is>
      </c>
      <c r="D22" s="148" t="inlineStr">
        <is>
          <t>มาตรฐานข้อมูลเปิดภาครัฐ (Open Data) และธรรมาภิบาลข้อมูล</t>
        </is>
      </c>
      <c r="E22" s="15" t="inlineStr">
        <is>
          <t>DGA (สพร.)</t>
        </is>
      </c>
      <c r="F22" s="16" t="inlineStr">
        <is>
          <t>เผยแพร่ข้อมูลในรูปแบบที่เครื่องอ่านได้ (CSV/JSON/XML) และมีธรรมาภิบาลข้อมูล</t>
        </is>
      </c>
      <c r="G22" s="17" t="n">
        <v>2</v>
      </c>
      <c r="H22" s="149" t="n"/>
      <c r="I22" s="150" t="inlineStr">
        <is>
          <t>✓</t>
        </is>
      </c>
      <c r="J22" s="149" t="n"/>
      <c r="K22" s="149" t="n"/>
      <c r="L22" s="149" t="n"/>
      <c r="M22" s="149" t="n"/>
      <c r="N22" s="149" t="n"/>
      <c r="O22" s="149" t="n"/>
      <c r="P22" s="149" t="n"/>
      <c r="Q22" s="149" t="n"/>
      <c r="R22" s="149" t="n"/>
      <c r="S22" s="149" t="n"/>
      <c r="T22" s="149" t="n"/>
      <c r="U22" s="149" t="n"/>
      <c r="V22" s="149" t="n"/>
      <c r="W22" s="149" t="n"/>
      <c r="X22" s="149" t="n"/>
      <c r="Y22" s="149" t="n"/>
      <c r="Z22" s="149" t="n"/>
      <c r="AA22" s="149" t="n"/>
      <c r="AB22" s="149" t="n"/>
      <c r="AC22" s="149" t="n"/>
      <c r="AD22" s="149" t="n"/>
      <c r="AE22" s="149" t="n"/>
      <c r="AF22" s="149" t="n"/>
      <c r="AG22" s="149" t="n"/>
      <c r="AH22" s="149" t="n"/>
      <c r="AI22" s="149" t="n"/>
      <c r="AJ22" s="149" t="n"/>
      <c r="AK22" s="149" t="n"/>
      <c r="AL22" s="149" t="n"/>
      <c r="AM22" s="149" t="n"/>
      <c r="AN22" s="150" t="inlineStr">
        <is>
          <t>✓</t>
        </is>
      </c>
      <c r="AO22" s="149" t="n"/>
      <c r="AP22" s="149" t="n"/>
      <c r="AQ22" s="149" t="n"/>
      <c r="AR22" s="149" t="n"/>
      <c r="AS22" s="149" t="n"/>
      <c r="AT22" s="149" t="n"/>
      <c r="AU22" s="149" t="n"/>
      <c r="AV22" s="149" t="n"/>
      <c r="AW22" s="149" t="n"/>
      <c r="AX22" s="149" t="n"/>
      <c r="AY22" s="149" t="n"/>
      <c r="AZ22" s="149" t="n"/>
      <c r="BA22" s="149" t="n"/>
      <c r="BB22" s="149" t="n"/>
      <c r="BC22" s="149" t="n"/>
      <c r="BD22" s="149" t="n"/>
      <c r="BE22" s="149" t="n"/>
    </row>
    <row r="24">
      <c r="A24" s="146" t="inlineStr">
        <is>
          <t>ข้อเสนอแนะมาตรฐาน (ขมธอ.) — ETDA (3 ฉบับ)</t>
        </is>
      </c>
      <c r="B24" s="147" t="n"/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7" t="n"/>
      <c r="N24" s="147" t="n"/>
      <c r="O24" s="147" t="n"/>
      <c r="P24" s="147" t="n"/>
      <c r="Q24" s="147" t="n"/>
      <c r="R24" s="147" t="n"/>
      <c r="S24" s="147" t="n"/>
      <c r="T24" s="147" t="n"/>
      <c r="U24" s="147" t="n"/>
      <c r="V24" s="147" t="n"/>
      <c r="W24" s="147" t="n"/>
      <c r="X24" s="147" t="n"/>
      <c r="Y24" s="147" t="n"/>
      <c r="Z24" s="147" t="n"/>
      <c r="AA24" s="147" t="n"/>
      <c r="AB24" s="147" t="n"/>
      <c r="AC24" s="147" t="n"/>
      <c r="AD24" s="147" t="n"/>
      <c r="AE24" s="147" t="n"/>
      <c r="AF24" s="147" t="n"/>
      <c r="AG24" s="147" t="n"/>
      <c r="AH24" s="147" t="n"/>
      <c r="AI24" s="147" t="n"/>
      <c r="AJ24" s="147" t="n"/>
      <c r="AK24" s="147" t="n"/>
      <c r="AL24" s="147" t="n"/>
      <c r="AM24" s="147" t="n"/>
      <c r="AN24" s="147" t="n"/>
      <c r="AO24" s="147" t="n"/>
      <c r="AP24" s="147" t="n"/>
      <c r="AQ24" s="147" t="n"/>
      <c r="AR24" s="147" t="n"/>
      <c r="AS24" s="147" t="n"/>
      <c r="AT24" s="147" t="n"/>
      <c r="AU24" s="147" t="n"/>
      <c r="AV24" s="147" t="n"/>
      <c r="AW24" s="147" t="n"/>
      <c r="AX24" s="147" t="n"/>
      <c r="AY24" s="147" t="n"/>
      <c r="AZ24" s="147" t="n"/>
      <c r="BA24" s="147" t="n"/>
      <c r="BB24" s="147" t="n"/>
      <c r="BC24" s="147" t="n"/>
      <c r="BD24" s="147" t="n"/>
      <c r="BE24" s="147" t="n"/>
    </row>
    <row r="25" ht="30" customHeight="1">
      <c r="A25" s="15" t="inlineStr">
        <is>
          <t>TH-ETDA-ISEC ⚠</t>
        </is>
      </c>
      <c r="B25" s="17" t="inlineStr">
        <is>
          <t>ไทย</t>
        </is>
      </c>
      <c r="C25" s="15" t="inlineStr">
        <is>
          <t>th-etda</t>
        </is>
      </c>
      <c r="D25" s="148" t="inlineStr">
        <is>
          <t>ข้อเสนอแนะมาตรฐาน (ขมธอ.) ด้านการรักษาความมั่นคงปลอดภัยสารสนเทศ — ETDA</t>
        </is>
      </c>
      <c r="E25" s="15" t="inlineStr">
        <is>
          <t>ETDA</t>
        </is>
      </c>
      <c r="F25" s="16" t="inlineStr">
        <is>
          <t>แนวทางการจัดการความมั่นคงปลอดภัยสารสนเทศสำหรับธุรกรรมทางอิเล็กทรอนิกส์</t>
        </is>
      </c>
      <c r="G25" s="17" t="n">
        <v>5</v>
      </c>
      <c r="H25" s="149" t="n"/>
      <c r="I25" s="149" t="n"/>
      <c r="J25" s="150" t="inlineStr">
        <is>
          <t>✓</t>
        </is>
      </c>
      <c r="K25" s="149" t="n"/>
      <c r="L25" s="149" t="n"/>
      <c r="M25" s="149" t="n"/>
      <c r="N25" s="149" t="n"/>
      <c r="O25" s="149" t="n"/>
      <c r="P25" s="149" t="n"/>
      <c r="Q25" s="149" t="n"/>
      <c r="R25" s="149" t="n"/>
      <c r="S25" s="149" t="n"/>
      <c r="T25" s="149" t="n"/>
      <c r="U25" s="149" t="n"/>
      <c r="V25" s="149" t="n"/>
      <c r="W25" s="149" t="n"/>
      <c r="X25" s="149" t="n"/>
      <c r="Y25" s="149" t="n"/>
      <c r="Z25" s="149" t="n"/>
      <c r="AA25" s="149" t="n"/>
      <c r="AB25" s="149" t="n"/>
      <c r="AC25" s="149" t="n"/>
      <c r="AD25" s="149" t="n"/>
      <c r="AE25" s="150" t="inlineStr">
        <is>
          <t>✓</t>
        </is>
      </c>
      <c r="AF25" s="149" t="n"/>
      <c r="AG25" s="149" t="n"/>
      <c r="AH25" s="149" t="n"/>
      <c r="AI25" s="150" t="inlineStr">
        <is>
          <t>✓</t>
        </is>
      </c>
      <c r="AJ25" s="149" t="n"/>
      <c r="AK25" s="149" t="n"/>
      <c r="AL25" s="150" t="inlineStr">
        <is>
          <t>✓</t>
        </is>
      </c>
      <c r="AM25" s="149" t="n"/>
      <c r="AN25" s="149" t="n"/>
      <c r="AO25" s="149" t="n"/>
      <c r="AP25" s="150" t="inlineStr">
        <is>
          <t>✓</t>
        </is>
      </c>
      <c r="AQ25" s="149" t="n"/>
      <c r="AR25" s="149" t="n"/>
      <c r="AS25" s="149" t="n"/>
      <c r="AT25" s="149" t="n"/>
      <c r="AU25" s="149" t="n"/>
      <c r="AV25" s="149" t="n"/>
      <c r="AW25" s="149" t="n"/>
      <c r="AX25" s="149" t="n"/>
      <c r="AY25" s="149" t="n"/>
      <c r="AZ25" s="149" t="n"/>
      <c r="BA25" s="149" t="n"/>
      <c r="BB25" s="149" t="n"/>
      <c r="BC25" s="149" t="n"/>
      <c r="BD25" s="149" t="n"/>
      <c r="BE25" s="149" t="n"/>
    </row>
    <row r="26" ht="30" customHeight="1">
      <c r="A26" s="15" t="inlineStr">
        <is>
          <t>TH-ETDA-CLOUD ⚠</t>
        </is>
      </c>
      <c r="B26" s="17" t="inlineStr">
        <is>
          <t>ไทย</t>
        </is>
      </c>
      <c r="C26" s="15" t="inlineStr">
        <is>
          <t>th-etda</t>
        </is>
      </c>
      <c r="D26" s="148" t="inlineStr">
        <is>
          <t>ข้อเสนอแนะมาตรฐาน (ขมธอ.) การใช้บริการคลาวด์ — ETDA</t>
        </is>
      </c>
      <c r="E26" s="15" t="inlineStr">
        <is>
          <t>ETDA</t>
        </is>
      </c>
      <c r="F26" s="16" t="inlineStr">
        <is>
          <t>แนวทางการเลือกและควบคุมผู้ให้บริการคลาวด์ และความรับผิดชอบร่วมกัน</t>
        </is>
      </c>
      <c r="G26" s="17" t="n">
        <v>4</v>
      </c>
      <c r="H26" s="149" t="n"/>
      <c r="I26" s="149" t="n"/>
      <c r="J26" s="149" t="n"/>
      <c r="K26" s="149" t="n"/>
      <c r="L26" s="149" t="n"/>
      <c r="M26" s="149" t="n"/>
      <c r="N26" s="149" t="n"/>
      <c r="O26" s="149" t="n"/>
      <c r="P26" s="149" t="n"/>
      <c r="Q26" s="149" t="n"/>
      <c r="R26" s="149" t="n"/>
      <c r="S26" s="149" t="n"/>
      <c r="T26" s="149" t="n"/>
      <c r="U26" s="149" t="n"/>
      <c r="V26" s="149" t="n"/>
      <c r="W26" s="149" t="n"/>
      <c r="X26" s="149" t="n"/>
      <c r="Y26" s="149" t="n"/>
      <c r="Z26" s="149" t="n"/>
      <c r="AA26" s="149" t="n"/>
      <c r="AB26" s="149" t="n"/>
      <c r="AC26" s="149" t="n"/>
      <c r="AD26" s="149" t="n"/>
      <c r="AE26" s="149" t="n"/>
      <c r="AF26" s="150" t="inlineStr">
        <is>
          <t>✓</t>
        </is>
      </c>
      <c r="AG26" s="149" t="n"/>
      <c r="AH26" s="149" t="n"/>
      <c r="AI26" s="150" t="inlineStr">
        <is>
          <t>✓</t>
        </is>
      </c>
      <c r="AJ26" s="149" t="n"/>
      <c r="AK26" s="149" t="n"/>
      <c r="AL26" s="149" t="n"/>
      <c r="AM26" s="149" t="n"/>
      <c r="AN26" s="149" t="n"/>
      <c r="AO26" s="149" t="n"/>
      <c r="AP26" s="149" t="n"/>
      <c r="AQ26" s="149" t="n"/>
      <c r="AR26" s="150" t="inlineStr">
        <is>
          <t>✓</t>
        </is>
      </c>
      <c r="AS26" s="149" t="n"/>
      <c r="AT26" s="149" t="n"/>
      <c r="AU26" s="149" t="n"/>
      <c r="AV26" s="149" t="n"/>
      <c r="AW26" s="150" t="inlineStr">
        <is>
          <t>✓</t>
        </is>
      </c>
      <c r="AX26" s="149" t="n"/>
      <c r="AY26" s="149" t="n"/>
      <c r="AZ26" s="149" t="n"/>
      <c r="BA26" s="149" t="n"/>
      <c r="BB26" s="149" t="n"/>
      <c r="BC26" s="149" t="n"/>
      <c r="BD26" s="149" t="n"/>
      <c r="BE26" s="149" t="n"/>
    </row>
    <row r="27" ht="30" customHeight="1">
      <c r="A27" s="15" t="inlineStr">
        <is>
          <t>TH-ETDA-ESIGN ⚠</t>
        </is>
      </c>
      <c r="B27" s="17" t="inlineStr">
        <is>
          <t>ไทย</t>
        </is>
      </c>
      <c r="C27" s="15" t="inlineStr">
        <is>
          <t>th-etda</t>
        </is>
      </c>
      <c r="D27" s="148" t="inlineStr">
        <is>
          <t>ข้อเสนอแนะมาตรฐาน (ขมธอ.) ลายมือชื่ออิเล็กทรอนิกส์และเอกสารอิเล็กทรอนิกส์ — ETDA</t>
        </is>
      </c>
      <c r="E27" s="15" t="inlineStr">
        <is>
          <t>ETDA</t>
        </is>
      </c>
      <c r="F27" s="16" t="inlineStr">
        <is>
          <t>ความน่าเชื่อถือของลายมือชื่ออิเล็กทรอนิกส์และการรักษาความครบถ้วนของเอกสาร</t>
        </is>
      </c>
      <c r="G27" s="17" t="n">
        <v>3</v>
      </c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 t="n"/>
      <c r="S27" s="149" t="n"/>
      <c r="T27" s="149" t="n"/>
      <c r="U27" s="149" t="n"/>
      <c r="V27" s="149" t="n"/>
      <c r="W27" s="149" t="n"/>
      <c r="X27" s="149" t="n"/>
      <c r="Y27" s="149" t="n"/>
      <c r="Z27" s="150" t="inlineStr">
        <is>
          <t>✓</t>
        </is>
      </c>
      <c r="AA27" s="149" t="n"/>
      <c r="AB27" s="149" t="n"/>
      <c r="AC27" s="149" t="n"/>
      <c r="AD27" s="149" t="n"/>
      <c r="AE27" s="149" t="n"/>
      <c r="AF27" s="150" t="inlineStr">
        <is>
          <t>✓</t>
        </is>
      </c>
      <c r="AG27" s="149" t="n"/>
      <c r="AH27" s="149" t="n"/>
      <c r="AI27" s="149" t="n"/>
      <c r="AJ27" s="149" t="n"/>
      <c r="AK27" s="149" t="n"/>
      <c r="AL27" s="149" t="n"/>
      <c r="AM27" s="149" t="n"/>
      <c r="AN27" s="150" t="inlineStr">
        <is>
          <t>✓</t>
        </is>
      </c>
      <c r="AO27" s="149" t="n"/>
      <c r="AP27" s="149" t="n"/>
      <c r="AQ27" s="149" t="n"/>
      <c r="AR27" s="149" t="n"/>
      <c r="AS27" s="149" t="n"/>
      <c r="AT27" s="149" t="n"/>
      <c r="AU27" s="149" t="n"/>
      <c r="AV27" s="149" t="n"/>
      <c r="AW27" s="149" t="n"/>
      <c r="AX27" s="149" t="n"/>
      <c r="AY27" s="149" t="n"/>
      <c r="AZ27" s="149" t="n"/>
      <c r="BA27" s="149" t="n"/>
      <c r="BB27" s="149" t="n"/>
      <c r="BC27" s="149" t="n"/>
      <c r="BD27" s="149" t="n"/>
      <c r="BE27" s="149" t="n"/>
    </row>
    <row r="29">
      <c r="A29" s="146" t="inlineStr">
        <is>
          <t>เกณฑ์อื่นในประเทศ (1 ฉบับ)</t>
        </is>
      </c>
      <c r="B29" s="147" t="n"/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7" t="n"/>
      <c r="N29" s="147" t="n"/>
      <c r="O29" s="147" t="n"/>
      <c r="P29" s="147" t="n"/>
      <c r="Q29" s="147" t="n"/>
      <c r="R29" s="147" t="n"/>
      <c r="S29" s="147" t="n"/>
      <c r="T29" s="147" t="n"/>
      <c r="U29" s="147" t="n"/>
      <c r="V29" s="147" t="n"/>
      <c r="W29" s="147" t="n"/>
      <c r="X29" s="147" t="n"/>
      <c r="Y29" s="147" t="n"/>
      <c r="Z29" s="147" t="n"/>
      <c r="AA29" s="147" t="n"/>
      <c r="AB29" s="147" t="n"/>
      <c r="AC29" s="147" t="n"/>
      <c r="AD29" s="147" t="n"/>
      <c r="AE29" s="147" t="n"/>
      <c r="AF29" s="147" t="n"/>
      <c r="AG29" s="147" t="n"/>
      <c r="AH29" s="147" t="n"/>
      <c r="AI29" s="147" t="n"/>
      <c r="AJ29" s="147" t="n"/>
      <c r="AK29" s="147" t="n"/>
      <c r="AL29" s="147" t="n"/>
      <c r="AM29" s="147" t="n"/>
      <c r="AN29" s="147" t="n"/>
      <c r="AO29" s="147" t="n"/>
      <c r="AP29" s="147" t="n"/>
      <c r="AQ29" s="147" t="n"/>
      <c r="AR29" s="147" t="n"/>
      <c r="AS29" s="147" t="n"/>
      <c r="AT29" s="147" t="n"/>
      <c r="AU29" s="147" t="n"/>
      <c r="AV29" s="147" t="n"/>
      <c r="AW29" s="147" t="n"/>
      <c r="AX29" s="147" t="n"/>
      <c r="AY29" s="147" t="n"/>
      <c r="AZ29" s="147" t="n"/>
      <c r="BA29" s="147" t="n"/>
      <c r="BB29" s="147" t="n"/>
      <c r="BC29" s="147" t="n"/>
      <c r="BD29" s="147" t="n"/>
      <c r="BE29" s="147" t="n"/>
    </row>
    <row r="30" ht="30" customHeight="1">
      <c r="A30" s="15" t="inlineStr">
        <is>
          <t>TH-ITA-NACC ⚠</t>
        </is>
      </c>
      <c r="B30" s="17" t="inlineStr">
        <is>
          <t>ไทย</t>
        </is>
      </c>
      <c r="C30" s="15" t="inlineStr">
        <is>
          <t>th-other</t>
        </is>
      </c>
      <c r="D30" s="148" t="inlineStr">
        <is>
          <t>การประเมินคุณธรรมและความโปร่งใสในการดำเนินงานของหน่วยงานภาครัฐ (ITA)</t>
        </is>
      </c>
      <c r="E30" s="15" t="inlineStr">
        <is>
          <t>สำนักงาน ป.ป.ช.</t>
        </is>
      </c>
      <c r="F30" s="16" t="inlineStr">
        <is>
          <t>การเปิดเผยข้อมูลบนเว็บไซต์และความโปร่งใสของกระบวนการ</t>
        </is>
      </c>
      <c r="G30" s="17" t="n">
        <v>2</v>
      </c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 t="n"/>
      <c r="S30" s="149" t="n"/>
      <c r="T30" s="149" t="n"/>
      <c r="U30" s="149" t="n"/>
      <c r="V30" s="149" t="n"/>
      <c r="W30" s="149" t="n"/>
      <c r="X30" s="149" t="n"/>
      <c r="Y30" s="149" t="n"/>
      <c r="Z30" s="149" t="n"/>
      <c r="AA30" s="149" t="n"/>
      <c r="AB30" s="149" t="n"/>
      <c r="AC30" s="149" t="n"/>
      <c r="AD30" s="149" t="n"/>
      <c r="AE30" s="149" t="n"/>
      <c r="AF30" s="149" t="n"/>
      <c r="AG30" s="149" t="n"/>
      <c r="AH30" s="149" t="n"/>
      <c r="AI30" s="149" t="n"/>
      <c r="AJ30" s="149" t="n"/>
      <c r="AK30" s="149" t="n"/>
      <c r="AL30" s="149" t="n"/>
      <c r="AM30" s="149" t="n"/>
      <c r="AN30" s="150" t="inlineStr">
        <is>
          <t>✓</t>
        </is>
      </c>
      <c r="AO30" s="149" t="n"/>
      <c r="AP30" s="149" t="n"/>
      <c r="AQ30" s="149" t="n"/>
      <c r="AR30" s="149" t="n"/>
      <c r="AS30" s="149" t="n"/>
      <c r="AT30" s="149" t="n"/>
      <c r="AU30" s="149" t="n"/>
      <c r="AV30" s="149" t="n"/>
      <c r="AW30" s="149" t="n"/>
      <c r="AX30" s="149" t="n"/>
      <c r="AY30" s="149" t="n"/>
      <c r="AZ30" s="149" t="n"/>
      <c r="BA30" s="149" t="n"/>
      <c r="BB30" s="149" t="n"/>
      <c r="BC30" s="150" t="inlineStr">
        <is>
          <t>✓</t>
        </is>
      </c>
      <c r="BD30" s="149" t="n"/>
      <c r="BE30" s="149" t="n"/>
    </row>
    <row r="32">
      <c r="A32" s="146" t="inlineStr">
        <is>
          <t>ISO / IEC (10 ฉบับ)</t>
        </is>
      </c>
      <c r="B32" s="147" t="n"/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147" t="n"/>
      <c r="L32" s="147" t="n"/>
      <c r="M32" s="147" t="n"/>
      <c r="N32" s="147" t="n"/>
      <c r="O32" s="147" t="n"/>
      <c r="P32" s="147" t="n"/>
      <c r="Q32" s="147" t="n"/>
      <c r="R32" s="147" t="n"/>
      <c r="S32" s="147" t="n"/>
      <c r="T32" s="147" t="n"/>
      <c r="U32" s="147" t="n"/>
      <c r="V32" s="147" t="n"/>
      <c r="W32" s="147" t="n"/>
      <c r="X32" s="147" t="n"/>
      <c r="Y32" s="147" t="n"/>
      <c r="Z32" s="147" t="n"/>
      <c r="AA32" s="147" t="n"/>
      <c r="AB32" s="147" t="n"/>
      <c r="AC32" s="147" t="n"/>
      <c r="AD32" s="147" t="n"/>
      <c r="AE32" s="147" t="n"/>
      <c r="AF32" s="147" t="n"/>
      <c r="AG32" s="147" t="n"/>
      <c r="AH32" s="147" t="n"/>
      <c r="AI32" s="147" t="n"/>
      <c r="AJ32" s="147" t="n"/>
      <c r="AK32" s="147" t="n"/>
      <c r="AL32" s="147" t="n"/>
      <c r="AM32" s="147" t="n"/>
      <c r="AN32" s="147" t="n"/>
      <c r="AO32" s="147" t="n"/>
      <c r="AP32" s="147" t="n"/>
      <c r="AQ32" s="147" t="n"/>
      <c r="AR32" s="147" t="n"/>
      <c r="AS32" s="147" t="n"/>
      <c r="AT32" s="147" t="n"/>
      <c r="AU32" s="147" t="n"/>
      <c r="AV32" s="147" t="n"/>
      <c r="AW32" s="147" t="n"/>
      <c r="AX32" s="147" t="n"/>
      <c r="AY32" s="147" t="n"/>
      <c r="AZ32" s="147" t="n"/>
      <c r="BA32" s="147" t="n"/>
      <c r="BB32" s="147" t="n"/>
      <c r="BC32" s="147" t="n"/>
      <c r="BD32" s="147" t="n"/>
      <c r="BE32" s="147" t="n"/>
    </row>
    <row r="33" ht="30" customHeight="1">
      <c r="A33" s="25" t="inlineStr">
        <is>
          <t>ISO-27001-2022</t>
        </is>
      </c>
      <c r="B33" s="27" t="inlineStr">
        <is>
          <t>สากล</t>
        </is>
      </c>
      <c r="C33" s="25" t="inlineStr">
        <is>
          <t>iso</t>
        </is>
      </c>
      <c r="D33" s="151" t="inlineStr">
        <is>
          <t>ISO/IEC 27001:2022 — ระบบบริหารความมั่นคงปลอดภัยสารสนเทศ (ISMS)</t>
        </is>
      </c>
      <c r="E33" s="25" t="inlineStr">
        <is>
          <t>ISO/IEC</t>
        </is>
      </c>
      <c r="F33" s="26" t="inlineStr">
        <is>
          <t>ชุดควบคุม Annex A 93 ข้อ ใช้อ้างอิงร่วมกับมาตรฐานไทยเกือบทุกฉบับ</t>
        </is>
      </c>
      <c r="G33" s="27" t="n">
        <v>12</v>
      </c>
      <c r="H33" s="150" t="inlineStr">
        <is>
          <t>✓</t>
        </is>
      </c>
      <c r="I33" s="149" t="n"/>
      <c r="J33" s="149" t="n"/>
      <c r="K33" s="149" t="n"/>
      <c r="L33" s="149" t="n"/>
      <c r="M33" s="150" t="inlineStr">
        <is>
          <t>✓</t>
        </is>
      </c>
      <c r="N33" s="150" t="inlineStr">
        <is>
          <t>✓</t>
        </is>
      </c>
      <c r="O33" s="149" t="n"/>
      <c r="P33" s="149" t="n"/>
      <c r="Q33" s="149" t="n"/>
      <c r="R33" s="149" t="n"/>
      <c r="S33" s="149" t="n"/>
      <c r="T33" s="149" t="n"/>
      <c r="U33" s="150" t="inlineStr">
        <is>
          <t>✓</t>
        </is>
      </c>
      <c r="V33" s="149" t="n"/>
      <c r="W33" s="149" t="n"/>
      <c r="X33" s="149" t="n"/>
      <c r="Y33" s="150" t="inlineStr">
        <is>
          <t>✓</t>
        </is>
      </c>
      <c r="Z33" s="149" t="n"/>
      <c r="AA33" s="149" t="n"/>
      <c r="AB33" s="149" t="n"/>
      <c r="AC33" s="149" t="n"/>
      <c r="AD33" s="149" t="n"/>
      <c r="AE33" s="149" t="n"/>
      <c r="AF33" s="150" t="inlineStr">
        <is>
          <t>✓</t>
        </is>
      </c>
      <c r="AG33" s="149" t="n"/>
      <c r="AH33" s="149" t="n"/>
      <c r="AI33" s="150" t="inlineStr">
        <is>
          <t>✓</t>
        </is>
      </c>
      <c r="AJ33" s="149" t="n"/>
      <c r="AK33" s="149" t="n"/>
      <c r="AL33" s="150" t="inlineStr">
        <is>
          <t>✓</t>
        </is>
      </c>
      <c r="AM33" s="149" t="n"/>
      <c r="AN33" s="150" t="inlineStr">
        <is>
          <t>✓</t>
        </is>
      </c>
      <c r="AO33" s="149" t="n"/>
      <c r="AP33" s="150" t="inlineStr">
        <is>
          <t>✓</t>
        </is>
      </c>
      <c r="AQ33" s="149" t="n"/>
      <c r="AR33" s="149" t="n"/>
      <c r="AS33" s="149" t="n"/>
      <c r="AT33" s="149" t="n"/>
      <c r="AU33" s="150" t="inlineStr">
        <is>
          <t>✓</t>
        </is>
      </c>
      <c r="AV33" s="149" t="n"/>
      <c r="AW33" s="150" t="inlineStr">
        <is>
          <t>✓</t>
        </is>
      </c>
      <c r="AX33" s="149" t="n"/>
      <c r="AY33" s="149" t="n"/>
      <c r="AZ33" s="149" t="n"/>
      <c r="BA33" s="149" t="n"/>
      <c r="BB33" s="149" t="n"/>
      <c r="BC33" s="149" t="n"/>
      <c r="BD33" s="149" t="n"/>
      <c r="BE33" s="149" t="n"/>
    </row>
    <row r="34" ht="30" customHeight="1">
      <c r="A34" s="25" t="inlineStr">
        <is>
          <t>ISO-27002-2022</t>
        </is>
      </c>
      <c r="B34" s="27" t="inlineStr">
        <is>
          <t>สากล</t>
        </is>
      </c>
      <c r="C34" s="25" t="inlineStr">
        <is>
          <t>iso</t>
        </is>
      </c>
      <c r="D34" s="151" t="inlineStr">
        <is>
          <t>ISO/IEC 27002:2022 — แนวปฏิบัติของมาตรการควบคุมความมั่นคงปลอดภัยสารสนเทศ</t>
        </is>
      </c>
      <c r="E34" s="25" t="inlineStr">
        <is>
          <t>ISO/IEC</t>
        </is>
      </c>
      <c r="F34" s="26" t="inlineStr">
        <is>
          <t>คำอธิบายวิธีปฏิบัติของแต่ละมาตรการใน 27001</t>
        </is>
      </c>
      <c r="G34" s="27" t="n">
        <v>5</v>
      </c>
      <c r="H34" s="149" t="n"/>
      <c r="I34" s="149" t="n"/>
      <c r="J34" s="150" t="inlineStr">
        <is>
          <t>✓</t>
        </is>
      </c>
      <c r="K34" s="150" t="inlineStr">
        <is>
          <t>✓</t>
        </is>
      </c>
      <c r="L34" s="149" t="n"/>
      <c r="M34" s="149" t="n"/>
      <c r="N34" s="149" t="n"/>
      <c r="O34" s="149" t="n"/>
      <c r="P34" s="149" t="n"/>
      <c r="Q34" s="149" t="n"/>
      <c r="R34" s="149" t="n"/>
      <c r="S34" s="149" t="n"/>
      <c r="T34" s="149" t="n"/>
      <c r="U34" s="149" t="n"/>
      <c r="V34" s="149" t="n"/>
      <c r="W34" s="149" t="n"/>
      <c r="X34" s="150" t="inlineStr">
        <is>
          <t>✓</t>
        </is>
      </c>
      <c r="Y34" s="149" t="n"/>
      <c r="Z34" s="149" t="n"/>
      <c r="AA34" s="149" t="n"/>
      <c r="AB34" s="149" t="n"/>
      <c r="AC34" s="149" t="n"/>
      <c r="AD34" s="149" t="n"/>
      <c r="AE34" s="149" t="n"/>
      <c r="AF34" s="149" t="n"/>
      <c r="AG34" s="149" t="n"/>
      <c r="AH34" s="149" t="n"/>
      <c r="AI34" s="149" t="n"/>
      <c r="AJ34" s="149" t="n"/>
      <c r="AK34" s="149" t="n"/>
      <c r="AL34" s="150" t="inlineStr">
        <is>
          <t>✓</t>
        </is>
      </c>
      <c r="AM34" s="149" t="n"/>
      <c r="AN34" s="149" t="n"/>
      <c r="AO34" s="149" t="n"/>
      <c r="AP34" s="150" t="inlineStr">
        <is>
          <t>✓</t>
        </is>
      </c>
      <c r="AQ34" s="149" t="n"/>
      <c r="AR34" s="149" t="n"/>
      <c r="AS34" s="149" t="n"/>
      <c r="AT34" s="149" t="n"/>
      <c r="AU34" s="149" t="n"/>
      <c r="AV34" s="149" t="n"/>
      <c r="AW34" s="149" t="n"/>
      <c r="AX34" s="149" t="n"/>
      <c r="AY34" s="149" t="n"/>
      <c r="AZ34" s="149" t="n"/>
      <c r="BA34" s="149" t="n"/>
      <c r="BB34" s="149" t="n"/>
      <c r="BC34" s="149" t="n"/>
      <c r="BD34" s="149" t="n"/>
      <c r="BE34" s="149" t="n"/>
    </row>
    <row r="35" ht="30" customHeight="1">
      <c r="A35" s="25" t="inlineStr">
        <is>
          <t>ISO-27017-2015</t>
        </is>
      </c>
      <c r="B35" s="27" t="inlineStr">
        <is>
          <t>สากล</t>
        </is>
      </c>
      <c r="C35" s="25" t="inlineStr">
        <is>
          <t>iso</t>
        </is>
      </c>
      <c r="D35" s="151" t="inlineStr">
        <is>
          <t>ISO/IEC 27017:2015 — มาตรการควบคุมความปลอดภัยสำหรับบริการคลาวด์</t>
        </is>
      </c>
      <c r="E35" s="25" t="inlineStr">
        <is>
          <t>ISO/IEC</t>
        </is>
      </c>
      <c r="F35" s="26" t="inlineStr">
        <is>
          <t>ส่วนขยายของ 27002 สำหรับผู้ให้บริการและผู้ใช้บริการคลาวด์</t>
        </is>
      </c>
      <c r="G35" s="27" t="n">
        <v>4</v>
      </c>
      <c r="H35" s="149" t="n"/>
      <c r="I35" s="149" t="n"/>
      <c r="J35" s="149" t="n"/>
      <c r="K35" s="149" t="n"/>
      <c r="L35" s="149" t="n"/>
      <c r="M35" s="149" t="n"/>
      <c r="N35" s="149" t="n"/>
      <c r="O35" s="149" t="n"/>
      <c r="P35" s="149" t="n"/>
      <c r="Q35" s="149" t="n"/>
      <c r="R35" s="149" t="n"/>
      <c r="S35" s="149" t="n"/>
      <c r="T35" s="149" t="n"/>
      <c r="U35" s="149" t="n"/>
      <c r="V35" s="149" t="n"/>
      <c r="W35" s="149" t="n"/>
      <c r="X35" s="149" t="n"/>
      <c r="Y35" s="149" t="n"/>
      <c r="Z35" s="149" t="n"/>
      <c r="AA35" s="149" t="n"/>
      <c r="AB35" s="149" t="n"/>
      <c r="AC35" s="149" t="n"/>
      <c r="AD35" s="149" t="n"/>
      <c r="AE35" s="149" t="n"/>
      <c r="AF35" s="150" t="inlineStr">
        <is>
          <t>✓</t>
        </is>
      </c>
      <c r="AG35" s="149" t="n"/>
      <c r="AH35" s="149" t="n"/>
      <c r="AI35" s="150" t="inlineStr">
        <is>
          <t>✓</t>
        </is>
      </c>
      <c r="AJ35" s="149" t="n"/>
      <c r="AK35" s="149" t="n"/>
      <c r="AL35" s="150" t="inlineStr">
        <is>
          <t>✓</t>
        </is>
      </c>
      <c r="AM35" s="149" t="n"/>
      <c r="AN35" s="149" t="n"/>
      <c r="AO35" s="149" t="n"/>
      <c r="AP35" s="149" t="n"/>
      <c r="AQ35" s="149" t="n"/>
      <c r="AR35" s="150" t="inlineStr">
        <is>
          <t>✓</t>
        </is>
      </c>
      <c r="AS35" s="149" t="n"/>
      <c r="AT35" s="149" t="n"/>
      <c r="AU35" s="149" t="n"/>
      <c r="AV35" s="149" t="n"/>
      <c r="AW35" s="149" t="n"/>
      <c r="AX35" s="149" t="n"/>
      <c r="AY35" s="149" t="n"/>
      <c r="AZ35" s="149" t="n"/>
      <c r="BA35" s="149" t="n"/>
      <c r="BB35" s="149" t="n"/>
      <c r="BC35" s="149" t="n"/>
      <c r="BD35" s="149" t="n"/>
      <c r="BE35" s="149" t="n"/>
    </row>
    <row r="36" ht="30" customHeight="1">
      <c r="A36" s="25" t="inlineStr">
        <is>
          <t>ISO-27018-2019</t>
        </is>
      </c>
      <c r="B36" s="27" t="inlineStr">
        <is>
          <t>สากล</t>
        </is>
      </c>
      <c r="C36" s="25" t="inlineStr">
        <is>
          <t>iso</t>
        </is>
      </c>
      <c r="D36" s="151" t="inlineStr">
        <is>
          <t>ISO/IEC 27018:2019 — การคุ้มครองข้อมูลส่วนบุคคล (PII) บนคลาวด์สาธารณะ</t>
        </is>
      </c>
      <c r="E36" s="25" t="inlineStr">
        <is>
          <t>ISO/IEC</t>
        </is>
      </c>
      <c r="F36" s="26" t="inlineStr">
        <is>
          <t>ข้อกำหนดเพิ่มเติมเมื่อประมวลผล PII ในฐานะผู้ประมวลผลบนคลาวด์สาธารณะ</t>
        </is>
      </c>
      <c r="G36" s="27" t="n">
        <v>3</v>
      </c>
      <c r="H36" s="149" t="n"/>
      <c r="I36" s="149" t="n"/>
      <c r="J36" s="149" t="n"/>
      <c r="K36" s="149" t="n"/>
      <c r="L36" s="149" t="n"/>
      <c r="M36" s="149" t="n"/>
      <c r="N36" s="149" t="n"/>
      <c r="O36" s="149" t="n"/>
      <c r="P36" s="149" t="n"/>
      <c r="Q36" s="149" t="n"/>
      <c r="R36" s="149" t="n"/>
      <c r="S36" s="149" t="n"/>
      <c r="T36" s="149" t="n"/>
      <c r="U36" s="149" t="n"/>
      <c r="V36" s="149" t="n"/>
      <c r="W36" s="149" t="n"/>
      <c r="X36" s="149" t="n"/>
      <c r="Y36" s="149" t="n"/>
      <c r="Z36" s="149" t="n"/>
      <c r="AA36" s="149" t="n"/>
      <c r="AB36" s="149" t="n"/>
      <c r="AC36" s="149" t="n"/>
      <c r="AD36" s="149" t="n"/>
      <c r="AE36" s="149" t="n"/>
      <c r="AF36" s="149" t="n"/>
      <c r="AG36" s="149" t="n"/>
      <c r="AH36" s="149" t="n"/>
      <c r="AI36" s="149" t="n"/>
      <c r="AJ36" s="149" t="n"/>
      <c r="AK36" s="149" t="n"/>
      <c r="AL36" s="149" t="n"/>
      <c r="AM36" s="149" t="n"/>
      <c r="AN36" s="150" t="inlineStr">
        <is>
          <t>✓</t>
        </is>
      </c>
      <c r="AO36" s="149" t="n"/>
      <c r="AP36" s="149" t="n"/>
      <c r="AQ36" s="149" t="n"/>
      <c r="AR36" s="149" t="n"/>
      <c r="AS36" s="149" t="n"/>
      <c r="AT36" s="149" t="n"/>
      <c r="AU36" s="149" t="n"/>
      <c r="AV36" s="149" t="n"/>
      <c r="AW36" s="149" t="n"/>
      <c r="AX36" s="149" t="n"/>
      <c r="AY36" s="150" t="inlineStr">
        <is>
          <t>✓</t>
        </is>
      </c>
      <c r="AZ36" s="149" t="n"/>
      <c r="BA36" s="150" t="inlineStr">
        <is>
          <t>✓</t>
        </is>
      </c>
      <c r="BB36" s="149" t="n"/>
      <c r="BC36" s="149" t="n"/>
      <c r="BD36" s="149" t="n"/>
      <c r="BE36" s="149" t="n"/>
    </row>
    <row r="37" ht="30" customHeight="1">
      <c r="A37" s="25" t="inlineStr">
        <is>
          <t>ISO-27701-2019</t>
        </is>
      </c>
      <c r="B37" s="27" t="inlineStr">
        <is>
          <t>สากล</t>
        </is>
      </c>
      <c r="C37" s="25" t="inlineStr">
        <is>
          <t>iso</t>
        </is>
      </c>
      <c r="D37" s="151" t="inlineStr">
        <is>
          <t>ISO/IEC 27701:2019 — ระบบบริหารจัดการข้อมูลส่วนบุคคล (PIMS)</t>
        </is>
      </c>
      <c r="E37" s="25" t="inlineStr">
        <is>
          <t>ISO/IEC</t>
        </is>
      </c>
      <c r="F37" s="26" t="inlineStr">
        <is>
          <t>ส่วนขยายของ 27001/27002 สำหรับความเป็นส่วนตัว ใช้แสดงความสอดคล้องกับ PDPA/GDPR</t>
        </is>
      </c>
      <c r="G37" s="27" t="n">
        <v>4</v>
      </c>
      <c r="H37" s="149" t="n"/>
      <c r="I37" s="149" t="n"/>
      <c r="J37" s="149" t="n"/>
      <c r="K37" s="149" t="n"/>
      <c r="L37" s="149" t="n"/>
      <c r="M37" s="149" t="n"/>
      <c r="N37" s="149" t="n"/>
      <c r="O37" s="149" t="n"/>
      <c r="P37" s="149" t="n"/>
      <c r="Q37" s="149" t="n"/>
      <c r="R37" s="149" t="n"/>
      <c r="S37" s="149" t="n"/>
      <c r="T37" s="149" t="n"/>
      <c r="U37" s="149" t="n"/>
      <c r="V37" s="149" t="n"/>
      <c r="W37" s="149" t="n"/>
      <c r="X37" s="149" t="n"/>
      <c r="Y37" s="149" t="n"/>
      <c r="Z37" s="149" t="n"/>
      <c r="AA37" s="149" t="n"/>
      <c r="AB37" s="149" t="n"/>
      <c r="AC37" s="149" t="n"/>
      <c r="AD37" s="149" t="n"/>
      <c r="AE37" s="149" t="n"/>
      <c r="AF37" s="149" t="n"/>
      <c r="AG37" s="149" t="n"/>
      <c r="AH37" s="149" t="n"/>
      <c r="AI37" s="149" t="n"/>
      <c r="AJ37" s="149" t="n"/>
      <c r="AK37" s="149" t="n"/>
      <c r="AL37" s="149" t="n"/>
      <c r="AM37" s="149" t="n"/>
      <c r="AN37" s="150" t="inlineStr">
        <is>
          <t>✓</t>
        </is>
      </c>
      <c r="AO37" s="149" t="n"/>
      <c r="AP37" s="149" t="n"/>
      <c r="AQ37" s="149" t="n"/>
      <c r="AR37" s="149" t="n"/>
      <c r="AS37" s="149" t="n"/>
      <c r="AT37" s="149" t="n"/>
      <c r="AU37" s="149" t="n"/>
      <c r="AV37" s="149" t="n"/>
      <c r="AW37" s="149" t="n"/>
      <c r="AX37" s="149" t="n"/>
      <c r="AY37" s="150" t="inlineStr">
        <is>
          <t>✓</t>
        </is>
      </c>
      <c r="AZ37" s="150" t="inlineStr">
        <is>
          <t>✓</t>
        </is>
      </c>
      <c r="BA37" s="150" t="inlineStr">
        <is>
          <t>✓</t>
        </is>
      </c>
      <c r="BB37" s="149" t="n"/>
      <c r="BC37" s="149" t="n"/>
      <c r="BD37" s="149" t="n"/>
      <c r="BE37" s="149" t="n"/>
    </row>
    <row r="38" ht="30" customHeight="1">
      <c r="A38" s="25" t="inlineStr">
        <is>
          <t>ISO-29100-2011</t>
        </is>
      </c>
      <c r="B38" s="27" t="inlineStr">
        <is>
          <t>สากล</t>
        </is>
      </c>
      <c r="C38" s="25" t="inlineStr">
        <is>
          <t>iso</t>
        </is>
      </c>
      <c r="D38" s="151" t="inlineStr">
        <is>
          <t>ISO/IEC 29100:2011 — กรอบแนวคิดด้านความเป็นส่วนตัว (Privacy Framework)</t>
        </is>
      </c>
      <c r="E38" s="25" t="inlineStr">
        <is>
          <t>ISO/IEC</t>
        </is>
      </c>
      <c r="F38" s="26" t="inlineStr">
        <is>
          <t>หลักการ 11 ข้อด้านความเป็นส่วนตัว ใช้เป็นฐานของ 27701 และ Privacy by Design</t>
        </is>
      </c>
      <c r="G38" s="27" t="n">
        <v>2</v>
      </c>
      <c r="H38" s="149" t="n"/>
      <c r="I38" s="149" t="n"/>
      <c r="J38" s="149" t="n"/>
      <c r="K38" s="149" t="n"/>
      <c r="L38" s="149" t="n"/>
      <c r="M38" s="149" t="n"/>
      <c r="N38" s="149" t="n"/>
      <c r="O38" s="149" t="n"/>
      <c r="P38" s="149" t="n"/>
      <c r="Q38" s="149" t="n"/>
      <c r="R38" s="149" t="n"/>
      <c r="S38" s="149" t="n"/>
      <c r="T38" s="149" t="n"/>
      <c r="U38" s="149" t="n"/>
      <c r="V38" s="149" t="n"/>
      <c r="W38" s="149" t="n"/>
      <c r="X38" s="149" t="n"/>
      <c r="Y38" s="149" t="n"/>
      <c r="Z38" s="149" t="n"/>
      <c r="AA38" s="149" t="n"/>
      <c r="AB38" s="149" t="n"/>
      <c r="AC38" s="149" t="n"/>
      <c r="AD38" s="149" t="n"/>
      <c r="AE38" s="149" t="n"/>
      <c r="AF38" s="149" t="n"/>
      <c r="AG38" s="149" t="n"/>
      <c r="AH38" s="149" t="n"/>
      <c r="AI38" s="149" t="n"/>
      <c r="AJ38" s="149" t="n"/>
      <c r="AK38" s="149" t="n"/>
      <c r="AL38" s="149" t="n"/>
      <c r="AM38" s="149" t="n"/>
      <c r="AN38" s="149" t="n"/>
      <c r="AO38" s="149" t="n"/>
      <c r="AP38" s="149" t="n"/>
      <c r="AQ38" s="149" t="n"/>
      <c r="AR38" s="149" t="n"/>
      <c r="AS38" s="149" t="n"/>
      <c r="AT38" s="149" t="n"/>
      <c r="AU38" s="149" t="n"/>
      <c r="AV38" s="149" t="n"/>
      <c r="AW38" s="149" t="n"/>
      <c r="AX38" s="149" t="n"/>
      <c r="AY38" s="150" t="inlineStr">
        <is>
          <t>✓</t>
        </is>
      </c>
      <c r="AZ38" s="149" t="n"/>
      <c r="BA38" s="150" t="inlineStr">
        <is>
          <t>✓</t>
        </is>
      </c>
      <c r="BB38" s="149" t="n"/>
      <c r="BC38" s="149" t="n"/>
      <c r="BD38" s="149" t="n"/>
      <c r="BE38" s="149" t="n"/>
    </row>
    <row r="39" ht="30" customHeight="1">
      <c r="A39" s="25" t="inlineStr">
        <is>
          <t>ISO-27034 ⚠</t>
        </is>
      </c>
      <c r="B39" s="27" t="inlineStr">
        <is>
          <t>สากล</t>
        </is>
      </c>
      <c r="C39" s="25" t="inlineStr">
        <is>
          <t>iso</t>
        </is>
      </c>
      <c r="D39" s="151" t="inlineStr">
        <is>
          <t>ISO/IEC 27034 — ความมั่นคงปลอดภัยของแอปพลิเคชัน (Application Security)</t>
        </is>
      </c>
      <c r="E39" s="25" t="inlineStr">
        <is>
          <t>ISO/IEC</t>
        </is>
      </c>
      <c r="F39" s="26" t="inlineStr">
        <is>
          <t>กรอบการฝัง security เข้าไปในวงจรชีวิตของแอปพลิเคชัน</t>
        </is>
      </c>
      <c r="G39" s="27" t="n">
        <v>4</v>
      </c>
      <c r="H39" s="149" t="n"/>
      <c r="I39" s="149" t="n"/>
      <c r="J39" s="150" t="inlineStr">
        <is>
          <t>✓</t>
        </is>
      </c>
      <c r="K39" s="149" t="n"/>
      <c r="L39" s="149" t="n"/>
      <c r="M39" s="150" t="inlineStr">
        <is>
          <t>✓</t>
        </is>
      </c>
      <c r="N39" s="150" t="inlineStr">
        <is>
          <t>✓</t>
        </is>
      </c>
      <c r="O39" s="149" t="n"/>
      <c r="P39" s="149" t="n"/>
      <c r="Q39" s="149" t="n"/>
      <c r="R39" s="149" t="n"/>
      <c r="S39" s="150" t="inlineStr">
        <is>
          <t>✓</t>
        </is>
      </c>
      <c r="T39" s="149" t="n"/>
      <c r="U39" s="149" t="n"/>
      <c r="V39" s="149" t="n"/>
      <c r="W39" s="149" t="n"/>
      <c r="X39" s="149" t="n"/>
      <c r="Y39" s="149" t="n"/>
      <c r="Z39" s="149" t="n"/>
      <c r="AA39" s="149" t="n"/>
      <c r="AB39" s="149" t="n"/>
      <c r="AC39" s="149" t="n"/>
      <c r="AD39" s="149" t="n"/>
      <c r="AE39" s="149" t="n"/>
      <c r="AF39" s="149" t="n"/>
      <c r="AG39" s="149" t="n"/>
      <c r="AH39" s="149" t="n"/>
      <c r="AI39" s="149" t="n"/>
      <c r="AJ39" s="149" t="n"/>
      <c r="AK39" s="149" t="n"/>
      <c r="AL39" s="149" t="n"/>
      <c r="AM39" s="149" t="n"/>
      <c r="AN39" s="149" t="n"/>
      <c r="AO39" s="149" t="n"/>
      <c r="AP39" s="149" t="n"/>
      <c r="AQ39" s="149" t="n"/>
      <c r="AR39" s="149" t="n"/>
      <c r="AS39" s="149" t="n"/>
      <c r="AT39" s="149" t="n"/>
      <c r="AU39" s="149" t="n"/>
      <c r="AV39" s="149" t="n"/>
      <c r="AW39" s="149" t="n"/>
      <c r="AX39" s="149" t="n"/>
      <c r="AY39" s="149" t="n"/>
      <c r="AZ39" s="149" t="n"/>
      <c r="BA39" s="149" t="n"/>
      <c r="BB39" s="149" t="n"/>
      <c r="BC39" s="149" t="n"/>
      <c r="BD39" s="149" t="n"/>
      <c r="BE39" s="149" t="n"/>
    </row>
    <row r="40" ht="30" customHeight="1">
      <c r="A40" s="25" t="inlineStr">
        <is>
          <t>ISO-25010-2023</t>
        </is>
      </c>
      <c r="B40" s="27" t="inlineStr">
        <is>
          <t>สากล</t>
        </is>
      </c>
      <c r="C40" s="25" t="inlineStr">
        <is>
          <t>iso</t>
        </is>
      </c>
      <c r="D40" s="151" t="inlineStr">
        <is>
          <t>ISO/IEC 25010:2023 — แบบจำลองคุณภาพของระบบและซอฟต์แวร์</t>
        </is>
      </c>
      <c r="E40" s="25" t="inlineStr">
        <is>
          <t>ISO/IEC</t>
        </is>
      </c>
      <c r="F40" s="26" t="inlineStr">
        <is>
          <t>คุณลักษณะคุณภาพ 9 ด้าน ใช้กำหนดเกณฑ์ตรวจรับในโครงการ</t>
        </is>
      </c>
      <c r="G40" s="27" t="n">
        <v>3</v>
      </c>
      <c r="H40" s="149" t="n"/>
      <c r="I40" s="149" t="n"/>
      <c r="J40" s="149" t="n"/>
      <c r="K40" s="149" t="n"/>
      <c r="L40" s="150" t="inlineStr">
        <is>
          <t>✓</t>
        </is>
      </c>
      <c r="M40" s="150" t="inlineStr">
        <is>
          <t>✓</t>
        </is>
      </c>
      <c r="N40" s="149" t="n"/>
      <c r="O40" s="149" t="n"/>
      <c r="P40" s="149" t="n"/>
      <c r="Q40" s="149" t="n"/>
      <c r="R40" s="149" t="n"/>
      <c r="S40" s="149" t="n"/>
      <c r="T40" s="149" t="n"/>
      <c r="U40" s="149" t="n"/>
      <c r="V40" s="149" t="n"/>
      <c r="W40" s="149" t="n"/>
      <c r="X40" s="149" t="n"/>
      <c r="Y40" s="149" t="n"/>
      <c r="Z40" s="149" t="n"/>
      <c r="AA40" s="149" t="n"/>
      <c r="AB40" s="149" t="n"/>
      <c r="AC40" s="149" t="n"/>
      <c r="AD40" s="149" t="n"/>
      <c r="AE40" s="149" t="n"/>
      <c r="AF40" s="149" t="n"/>
      <c r="AG40" s="149" t="n"/>
      <c r="AH40" s="149" t="n"/>
      <c r="AI40" s="149" t="n"/>
      <c r="AJ40" s="149" t="n"/>
      <c r="AK40" s="149" t="n"/>
      <c r="AL40" s="149" t="n"/>
      <c r="AM40" s="149" t="n"/>
      <c r="AN40" s="149" t="n"/>
      <c r="AO40" s="149" t="n"/>
      <c r="AP40" s="149" t="n"/>
      <c r="AQ40" s="149" t="n"/>
      <c r="AR40" s="149" t="n"/>
      <c r="AS40" s="149" t="n"/>
      <c r="AT40" s="149" t="n"/>
      <c r="AU40" s="150" t="inlineStr">
        <is>
          <t>✓</t>
        </is>
      </c>
      <c r="AV40" s="149" t="n"/>
      <c r="AW40" s="149" t="n"/>
      <c r="AX40" s="149" t="n"/>
      <c r="AY40" s="149" t="n"/>
      <c r="AZ40" s="149" t="n"/>
      <c r="BA40" s="149" t="n"/>
      <c r="BB40" s="149" t="n"/>
      <c r="BC40" s="149" t="n"/>
      <c r="BD40" s="149" t="n"/>
      <c r="BE40" s="149" t="n"/>
    </row>
    <row r="41" ht="30" customHeight="1">
      <c r="A41" s="25" t="inlineStr">
        <is>
          <t>ISO-42001-2023</t>
        </is>
      </c>
      <c r="B41" s="27" t="inlineStr">
        <is>
          <t>สากล</t>
        </is>
      </c>
      <c r="C41" s="25" t="inlineStr">
        <is>
          <t>iso</t>
        </is>
      </c>
      <c r="D41" s="151" t="inlineStr">
        <is>
          <t>ISO/IEC 42001:2023 — ระบบบริหารจัดการปัญญาประดิษฐ์ (AI Management System)</t>
        </is>
      </c>
      <c r="E41" s="25" t="inlineStr">
        <is>
          <t>ISO/IEC</t>
        </is>
      </c>
      <c r="F41" s="26" t="inlineStr">
        <is>
          <t>การกำกับดูแลระบบ AI ตลอดวงจรชีวิต รวมความโปร่งใสและการจัดการความเสี่ยง</t>
        </is>
      </c>
      <c r="G41" s="27" t="n">
        <v>3</v>
      </c>
      <c r="H41" s="149" t="n"/>
      <c r="I41" s="149" t="n"/>
      <c r="J41" s="149" t="n"/>
      <c r="K41" s="149" t="n"/>
      <c r="L41" s="149" t="n"/>
      <c r="M41" s="149" t="n"/>
      <c r="N41" s="149" t="n"/>
      <c r="O41" s="149" t="n"/>
      <c r="P41" s="149" t="n"/>
      <c r="Q41" s="149" t="n"/>
      <c r="R41" s="149" t="n"/>
      <c r="S41" s="149" t="n"/>
      <c r="T41" s="149" t="n"/>
      <c r="U41" s="149" t="n"/>
      <c r="V41" s="149" t="n"/>
      <c r="W41" s="149" t="n"/>
      <c r="X41" s="149" t="n"/>
      <c r="Y41" s="149" t="n"/>
      <c r="Z41" s="149" t="n"/>
      <c r="AA41" s="149" t="n"/>
      <c r="AB41" s="149" t="n"/>
      <c r="AC41" s="149" t="n"/>
      <c r="AD41" s="149" t="n"/>
      <c r="AE41" s="149" t="n"/>
      <c r="AF41" s="149" t="n"/>
      <c r="AG41" s="149" t="n"/>
      <c r="AH41" s="149" t="n"/>
      <c r="AI41" s="149" t="n"/>
      <c r="AJ41" s="149" t="n"/>
      <c r="AK41" s="149" t="n"/>
      <c r="AL41" s="149" t="n"/>
      <c r="AM41" s="149" t="n"/>
      <c r="AN41" s="150" t="inlineStr">
        <is>
          <t>✓</t>
        </is>
      </c>
      <c r="AO41" s="149" t="n"/>
      <c r="AP41" s="149" t="n"/>
      <c r="AQ41" s="149" t="n"/>
      <c r="AR41" s="149" t="n"/>
      <c r="AS41" s="149" t="n"/>
      <c r="AT41" s="149" t="n"/>
      <c r="AU41" s="149" t="n"/>
      <c r="AV41" s="149" t="n"/>
      <c r="AW41" s="149" t="n"/>
      <c r="AX41" s="149" t="n"/>
      <c r="AY41" s="149" t="n"/>
      <c r="AZ41" s="149" t="n"/>
      <c r="BA41" s="149" t="n"/>
      <c r="BB41" s="149" t="n"/>
      <c r="BC41" s="149" t="n"/>
      <c r="BD41" s="150" t="inlineStr">
        <is>
          <t>✓</t>
        </is>
      </c>
      <c r="BE41" s="150" t="inlineStr">
        <is>
          <t>✓</t>
        </is>
      </c>
    </row>
    <row r="42" ht="30" customHeight="1">
      <c r="A42" s="25" t="inlineStr">
        <is>
          <t>ISO-22301-2019</t>
        </is>
      </c>
      <c r="B42" s="27" t="inlineStr">
        <is>
          <t>สากล</t>
        </is>
      </c>
      <c r="C42" s="25" t="inlineStr">
        <is>
          <t>iso</t>
        </is>
      </c>
      <c r="D42" s="151" t="inlineStr">
        <is>
          <t>ISO 22301:2019 — ระบบบริหารความต่อเนื่องทางธุรกิจ (BCMS)</t>
        </is>
      </c>
      <c r="E42" s="25" t="inlineStr">
        <is>
          <t>ISO</t>
        </is>
      </c>
      <c r="F42" s="26" t="inlineStr">
        <is>
          <t>แผนความต่อเนื่อง การกู้คืน และการซ้อมแผน</t>
        </is>
      </c>
      <c r="G42" s="27" t="n">
        <v>2</v>
      </c>
      <c r="H42" s="149" t="n"/>
      <c r="I42" s="149" t="n"/>
      <c r="J42" s="149" t="n"/>
      <c r="K42" s="149" t="n"/>
      <c r="L42" s="149" t="n"/>
      <c r="M42" s="149" t="n"/>
      <c r="N42" s="149" t="n"/>
      <c r="O42" s="149" t="n"/>
      <c r="P42" s="149" t="n"/>
      <c r="Q42" s="149" t="n"/>
      <c r="R42" s="149" t="n"/>
      <c r="S42" s="149" t="n"/>
      <c r="T42" s="149" t="n"/>
      <c r="U42" s="149" t="n"/>
      <c r="V42" s="149" t="n"/>
      <c r="W42" s="149" t="n"/>
      <c r="X42" s="149" t="n"/>
      <c r="Y42" s="149" t="n"/>
      <c r="Z42" s="149" t="n"/>
      <c r="AA42" s="149" t="n"/>
      <c r="AB42" s="149" t="n"/>
      <c r="AC42" s="149" t="n"/>
      <c r="AD42" s="149" t="n"/>
      <c r="AE42" s="149" t="n"/>
      <c r="AF42" s="149" t="n"/>
      <c r="AG42" s="149" t="n"/>
      <c r="AH42" s="149" t="n"/>
      <c r="AI42" s="149" t="n"/>
      <c r="AJ42" s="149" t="n"/>
      <c r="AK42" s="149" t="n"/>
      <c r="AL42" s="149" t="n"/>
      <c r="AM42" s="149" t="n"/>
      <c r="AN42" s="149" t="n"/>
      <c r="AO42" s="149" t="n"/>
      <c r="AP42" s="149" t="n"/>
      <c r="AQ42" s="149" t="n"/>
      <c r="AR42" s="149" t="n"/>
      <c r="AS42" s="149" t="n"/>
      <c r="AT42" s="149" t="n"/>
      <c r="AU42" s="149" t="n"/>
      <c r="AV42" s="149" t="n"/>
      <c r="AW42" s="150" t="inlineStr">
        <is>
          <t>✓</t>
        </is>
      </c>
      <c r="AX42" s="150" t="inlineStr">
        <is>
          <t>✓</t>
        </is>
      </c>
      <c r="AY42" s="149" t="n"/>
      <c r="AZ42" s="149" t="n"/>
      <c r="BA42" s="149" t="n"/>
      <c r="BB42" s="149" t="n"/>
      <c r="BC42" s="149" t="n"/>
      <c r="BD42" s="149" t="n"/>
      <c r="BE42" s="149" t="n"/>
    </row>
    <row r="44">
      <c r="A44" s="146" t="inlineStr">
        <is>
          <t>OWASP (5 ฉบับ)</t>
        </is>
      </c>
      <c r="B44" s="147" t="n"/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</row>
    <row r="45" ht="30" customHeight="1">
      <c r="A45" s="25" t="inlineStr">
        <is>
          <t>OWASP-TOP10-2025</t>
        </is>
      </c>
      <c r="B45" s="27" t="inlineStr">
        <is>
          <t>สากล</t>
        </is>
      </c>
      <c r="C45" s="25" t="inlineStr">
        <is>
          <t>owasp</t>
        </is>
      </c>
      <c r="D45" s="151" t="inlineStr">
        <is>
          <t>OWASP Top 10:2025 — ช่องโหว่เว็บแอปพลิเคชัน 10 อันดับ พร้อมประเด็น Post-Quantum</t>
        </is>
      </c>
      <c r="E45" s="25" t="inlineStr">
        <is>
          <t>OWASP Foundation</t>
        </is>
      </c>
      <c r="F45" s="26" t="inlineStr">
        <is>
          <t>A01-A10 ใช้เป็นเกณฑ์ขั้นต่ำของการทดสอบความปลอดภัยแอปพลิเคชัน</t>
        </is>
      </c>
      <c r="G45" s="27" t="n">
        <v>18</v>
      </c>
      <c r="H45" s="149" t="n"/>
      <c r="I45" s="149" t="n"/>
      <c r="J45" s="149" t="n"/>
      <c r="K45" s="149" t="n"/>
      <c r="L45" s="149" t="n"/>
      <c r="M45" s="149" t="n"/>
      <c r="N45" s="150" t="inlineStr">
        <is>
          <t>✓</t>
        </is>
      </c>
      <c r="O45" s="150" t="inlineStr">
        <is>
          <t>✓</t>
        </is>
      </c>
      <c r="P45" s="150" t="inlineStr">
        <is>
          <t>✓</t>
        </is>
      </c>
      <c r="Q45" s="150" t="inlineStr">
        <is>
          <t>✓</t>
        </is>
      </c>
      <c r="R45" s="150" t="inlineStr">
        <is>
          <t>✓</t>
        </is>
      </c>
      <c r="S45" s="149" t="n"/>
      <c r="T45" s="149" t="n"/>
      <c r="U45" s="149" t="n"/>
      <c r="V45" s="149" t="n"/>
      <c r="W45" s="150" t="inlineStr">
        <is>
          <t>✓</t>
        </is>
      </c>
      <c r="X45" s="150" t="inlineStr">
        <is>
          <t>✓</t>
        </is>
      </c>
      <c r="Y45" s="149" t="n"/>
      <c r="Z45" s="150" t="inlineStr">
        <is>
          <t>✓</t>
        </is>
      </c>
      <c r="AA45" s="150" t="inlineStr">
        <is>
          <t>✓</t>
        </is>
      </c>
      <c r="AB45" s="150" t="inlineStr">
        <is>
          <t>✓</t>
        </is>
      </c>
      <c r="AC45" s="149" t="n"/>
      <c r="AD45" s="150" t="inlineStr">
        <is>
          <t>✓</t>
        </is>
      </c>
      <c r="AE45" s="150" t="inlineStr">
        <is>
          <t>✓</t>
        </is>
      </c>
      <c r="AF45" s="150" t="inlineStr">
        <is>
          <t>✓</t>
        </is>
      </c>
      <c r="AG45" s="150" t="inlineStr">
        <is>
          <t>✓</t>
        </is>
      </c>
      <c r="AH45" s="149" t="n"/>
      <c r="AI45" s="149" t="n"/>
      <c r="AJ45" s="149" t="n"/>
      <c r="AK45" s="149" t="n"/>
      <c r="AL45" s="150" t="inlineStr">
        <is>
          <t>✓</t>
        </is>
      </c>
      <c r="AM45" s="150" t="inlineStr">
        <is>
          <t>✓</t>
        </is>
      </c>
      <c r="AN45" s="149" t="n"/>
      <c r="AO45" s="149" t="n"/>
      <c r="AP45" s="150" t="inlineStr">
        <is>
          <t>✓</t>
        </is>
      </c>
      <c r="AQ45" s="150" t="inlineStr">
        <is>
          <t>✓</t>
        </is>
      </c>
      <c r="AR45" s="149" t="n"/>
      <c r="AS45" s="149" t="n"/>
      <c r="AT45" s="149" t="n"/>
      <c r="AU45" s="149" t="n"/>
      <c r="AV45" s="149" t="n"/>
      <c r="AW45" s="149" t="n"/>
      <c r="AX45" s="149" t="n"/>
      <c r="AY45" s="149" t="n"/>
      <c r="AZ45" s="149" t="n"/>
      <c r="BA45" s="149" t="n"/>
      <c r="BB45" s="149" t="n"/>
      <c r="BC45" s="149" t="n"/>
      <c r="BD45" s="149" t="n"/>
      <c r="BE45" s="149" t="n"/>
    </row>
    <row r="46" ht="30" customHeight="1">
      <c r="A46" s="25" t="inlineStr">
        <is>
          <t>OWASP-ASVS-5 ⚠</t>
        </is>
      </c>
      <c r="B46" s="27" t="inlineStr">
        <is>
          <t>สากล</t>
        </is>
      </c>
      <c r="C46" s="25" t="inlineStr">
        <is>
          <t>owasp</t>
        </is>
      </c>
      <c r="D46" s="151" t="inlineStr">
        <is>
          <t>OWASP Application Security Verification Standard (ASVS) 5.0</t>
        </is>
      </c>
      <c r="E46" s="25" t="inlineStr">
        <is>
          <t>OWASP Foundation</t>
        </is>
      </c>
      <c r="F46" s="26" t="inlineStr">
        <is>
          <t>รายการข้อกำหนดที่ตรวจสอบได้ 3 ระดับ ใช้เขียนเกณฑ์ตรวจรับใน TOR ได้ตรงตัว</t>
        </is>
      </c>
      <c r="G46" s="27" t="n">
        <v>6</v>
      </c>
      <c r="H46" s="149" t="n"/>
      <c r="I46" s="149" t="n"/>
      <c r="J46" s="149" t="n"/>
      <c r="K46" s="149" t="n"/>
      <c r="L46" s="149" t="n"/>
      <c r="M46" s="149" t="n"/>
      <c r="N46" s="149" t="n"/>
      <c r="O46" s="150" t="inlineStr">
        <is>
          <t>✓</t>
        </is>
      </c>
      <c r="P46" s="150" t="inlineStr">
        <is>
          <t>✓</t>
        </is>
      </c>
      <c r="Q46" s="150" t="inlineStr">
        <is>
          <t>✓</t>
        </is>
      </c>
      <c r="R46" s="150" t="inlineStr">
        <is>
          <t>✓</t>
        </is>
      </c>
      <c r="S46" s="149" t="n"/>
      <c r="T46" s="149" t="n"/>
      <c r="U46" s="149" t="n"/>
      <c r="V46" s="149" t="n"/>
      <c r="W46" s="149" t="n"/>
      <c r="X46" s="149" t="n"/>
      <c r="Y46" s="149" t="n"/>
      <c r="Z46" s="149" t="n"/>
      <c r="AA46" s="149" t="n"/>
      <c r="AB46" s="149" t="n"/>
      <c r="AC46" s="149" t="n"/>
      <c r="AD46" s="149" t="n"/>
      <c r="AE46" s="149" t="n"/>
      <c r="AF46" s="150" t="inlineStr">
        <is>
          <t>✓</t>
        </is>
      </c>
      <c r="AG46" s="149" t="n"/>
      <c r="AH46" s="149" t="n"/>
      <c r="AI46" s="149" t="n"/>
      <c r="AJ46" s="149" t="n"/>
      <c r="AK46" s="149" t="n"/>
      <c r="AL46" s="150" t="inlineStr">
        <is>
          <t>✓</t>
        </is>
      </c>
      <c r="AM46" s="149" t="n"/>
      <c r="AN46" s="149" t="n"/>
      <c r="AO46" s="149" t="n"/>
      <c r="AP46" s="149" t="n"/>
      <c r="AQ46" s="149" t="n"/>
      <c r="AR46" s="149" t="n"/>
      <c r="AS46" s="149" t="n"/>
      <c r="AT46" s="149" t="n"/>
      <c r="AU46" s="149" t="n"/>
      <c r="AV46" s="149" t="n"/>
      <c r="AW46" s="149" t="n"/>
      <c r="AX46" s="149" t="n"/>
      <c r="AY46" s="149" t="n"/>
      <c r="AZ46" s="149" t="n"/>
      <c r="BA46" s="149" t="n"/>
      <c r="BB46" s="149" t="n"/>
      <c r="BC46" s="149" t="n"/>
      <c r="BD46" s="149" t="n"/>
      <c r="BE46" s="149" t="n"/>
    </row>
    <row r="47" ht="30" customHeight="1">
      <c r="A47" s="25" t="inlineStr">
        <is>
          <t>OWASP-API-2023</t>
        </is>
      </c>
      <c r="B47" s="27" t="inlineStr">
        <is>
          <t>สากล</t>
        </is>
      </c>
      <c r="C47" s="25" t="inlineStr">
        <is>
          <t>owasp</t>
        </is>
      </c>
      <c r="D47" s="151" t="inlineStr">
        <is>
          <t>OWASP API Security Top 10:2023</t>
        </is>
      </c>
      <c r="E47" s="25" t="inlineStr">
        <is>
          <t>OWASP Foundation</t>
        </is>
      </c>
      <c r="F47" s="26" t="inlineStr">
        <is>
          <t>ช่องโหว่เฉพาะของ API เช่น BOLA, BOPLA, Unrestricted Resource Consumption</t>
        </is>
      </c>
      <c r="G47" s="27" t="n">
        <v>3</v>
      </c>
      <c r="H47" s="149" t="n"/>
      <c r="I47" s="149" t="n"/>
      <c r="J47" s="149" t="n"/>
      <c r="K47" s="149" t="n"/>
      <c r="L47" s="149" t="n"/>
      <c r="M47" s="149" t="n"/>
      <c r="N47" s="149" t="n"/>
      <c r="O47" s="150" t="inlineStr">
        <is>
          <t>✓</t>
        </is>
      </c>
      <c r="P47" s="149" t="n"/>
      <c r="Q47" s="150" t="inlineStr">
        <is>
          <t>✓</t>
        </is>
      </c>
      <c r="R47" s="149" t="n"/>
      <c r="S47" s="149" t="n"/>
      <c r="T47" s="150" t="inlineStr">
        <is>
          <t>✓</t>
        </is>
      </c>
      <c r="U47" s="149" t="n"/>
      <c r="V47" s="149" t="n"/>
      <c r="W47" s="149" t="n"/>
      <c r="X47" s="149" t="n"/>
      <c r="Y47" s="149" t="n"/>
      <c r="Z47" s="149" t="n"/>
      <c r="AA47" s="149" t="n"/>
      <c r="AB47" s="149" t="n"/>
      <c r="AC47" s="149" t="n"/>
      <c r="AD47" s="149" t="n"/>
      <c r="AE47" s="149" t="n"/>
      <c r="AF47" s="149" t="n"/>
      <c r="AG47" s="149" t="n"/>
      <c r="AH47" s="149" t="n"/>
      <c r="AI47" s="149" t="n"/>
      <c r="AJ47" s="149" t="n"/>
      <c r="AK47" s="149" t="n"/>
      <c r="AL47" s="149" t="n"/>
      <c r="AM47" s="149" t="n"/>
      <c r="AN47" s="149" t="n"/>
      <c r="AO47" s="149" t="n"/>
      <c r="AP47" s="149" t="n"/>
      <c r="AQ47" s="149" t="n"/>
      <c r="AR47" s="149" t="n"/>
      <c r="AS47" s="149" t="n"/>
      <c r="AT47" s="149" t="n"/>
      <c r="AU47" s="149" t="n"/>
      <c r="AV47" s="149" t="n"/>
      <c r="AW47" s="149" t="n"/>
      <c r="AX47" s="149" t="n"/>
      <c r="AY47" s="149" t="n"/>
      <c r="AZ47" s="149" t="n"/>
      <c r="BA47" s="149" t="n"/>
      <c r="BB47" s="149" t="n"/>
      <c r="BC47" s="149" t="n"/>
      <c r="BD47" s="149" t="n"/>
      <c r="BE47" s="149" t="n"/>
    </row>
    <row r="48" ht="30" customHeight="1">
      <c r="A48" s="25" t="inlineStr">
        <is>
          <t>OWASP-SAMM-2</t>
        </is>
      </c>
      <c r="B48" s="27" t="inlineStr">
        <is>
          <t>สากล</t>
        </is>
      </c>
      <c r="C48" s="25" t="inlineStr">
        <is>
          <t>owasp</t>
        </is>
      </c>
      <c r="D48" s="151" t="inlineStr">
        <is>
          <t>OWASP SAMM 2 — แบบประเมินวุฒิภาวะด้านความปลอดภัยของกระบวนการพัฒนา</t>
        </is>
      </c>
      <c r="E48" s="25" t="inlineStr">
        <is>
          <t>OWASP Foundation</t>
        </is>
      </c>
      <c r="F48" s="26" t="inlineStr">
        <is>
          <t>ประเมินวุฒิภาวะ 5 หน้าที่ 15 practice ใช้วางแผนยกระดับทีมพัฒนา</t>
        </is>
      </c>
      <c r="G48" s="27" t="n">
        <v>4</v>
      </c>
      <c r="H48" s="150" t="inlineStr">
        <is>
          <t>✓</t>
        </is>
      </c>
      <c r="I48" s="149" t="n"/>
      <c r="J48" s="150" t="inlineStr">
        <is>
          <t>✓</t>
        </is>
      </c>
      <c r="K48" s="149" t="n"/>
      <c r="L48" s="149" t="n"/>
      <c r="M48" s="149" t="n"/>
      <c r="N48" s="150" t="inlineStr">
        <is>
          <t>✓</t>
        </is>
      </c>
      <c r="O48" s="149" t="n"/>
      <c r="P48" s="149" t="n"/>
      <c r="Q48" s="149" t="n"/>
      <c r="R48" s="149" t="n"/>
      <c r="S48" s="150" t="inlineStr">
        <is>
          <t>✓</t>
        </is>
      </c>
      <c r="T48" s="149" t="n"/>
      <c r="U48" s="149" t="n"/>
      <c r="V48" s="149" t="n"/>
      <c r="W48" s="149" t="n"/>
      <c r="X48" s="149" t="n"/>
      <c r="Y48" s="149" t="n"/>
      <c r="Z48" s="149" t="n"/>
      <c r="AA48" s="149" t="n"/>
      <c r="AB48" s="149" t="n"/>
      <c r="AC48" s="149" t="n"/>
      <c r="AD48" s="149" t="n"/>
      <c r="AE48" s="149" t="n"/>
      <c r="AF48" s="149" t="n"/>
      <c r="AG48" s="149" t="n"/>
      <c r="AH48" s="149" t="n"/>
      <c r="AI48" s="149" t="n"/>
      <c r="AJ48" s="149" t="n"/>
      <c r="AK48" s="149" t="n"/>
      <c r="AL48" s="149" t="n"/>
      <c r="AM48" s="149" t="n"/>
      <c r="AN48" s="149" t="n"/>
      <c r="AO48" s="149" t="n"/>
      <c r="AP48" s="149" t="n"/>
      <c r="AQ48" s="149" t="n"/>
      <c r="AR48" s="149" t="n"/>
      <c r="AS48" s="149" t="n"/>
      <c r="AT48" s="149" t="n"/>
      <c r="AU48" s="149" t="n"/>
      <c r="AV48" s="149" t="n"/>
      <c r="AW48" s="149" t="n"/>
      <c r="AX48" s="149" t="n"/>
      <c r="AY48" s="149" t="n"/>
      <c r="AZ48" s="149" t="n"/>
      <c r="BA48" s="149" t="n"/>
      <c r="BB48" s="149" t="n"/>
      <c r="BC48" s="149" t="n"/>
      <c r="BD48" s="149" t="n"/>
      <c r="BE48" s="149" t="n"/>
    </row>
    <row r="49" ht="30" customHeight="1">
      <c r="A49" s="25" t="inlineStr">
        <is>
          <t>OWASP-MASVS ⚠</t>
        </is>
      </c>
      <c r="B49" s="27" t="inlineStr">
        <is>
          <t>สากล</t>
        </is>
      </c>
      <c r="C49" s="25" t="inlineStr">
        <is>
          <t>owasp</t>
        </is>
      </c>
      <c r="D49" s="151" t="inlineStr">
        <is>
          <t>OWASP Mobile Application Security Verification Standard (MASVS)</t>
        </is>
      </c>
      <c r="E49" s="25" t="inlineStr">
        <is>
          <t>OWASP Foundation</t>
        </is>
      </c>
      <c r="F49" s="26" t="inlineStr">
        <is>
          <t>ใช้เมื่อโครงการมีแอปพลิเคชันบนมือถือ</t>
        </is>
      </c>
      <c r="G49" s="27" t="n">
        <v>3</v>
      </c>
      <c r="H49" s="149" t="n"/>
      <c r="I49" s="149" t="n"/>
      <c r="J49" s="149" t="n"/>
      <c r="K49" s="149" t="n"/>
      <c r="L49" s="149" t="n"/>
      <c r="M49" s="149" t="n"/>
      <c r="N49" s="149" t="n"/>
      <c r="O49" s="149" t="n"/>
      <c r="P49" s="149" t="n"/>
      <c r="Q49" s="150" t="inlineStr">
        <is>
          <t>✓</t>
        </is>
      </c>
      <c r="R49" s="150" t="inlineStr">
        <is>
          <t>✓</t>
        </is>
      </c>
      <c r="S49" s="149" t="n"/>
      <c r="T49" s="149" t="n"/>
      <c r="U49" s="149" t="n"/>
      <c r="V49" s="149" t="n"/>
      <c r="W49" s="149" t="n"/>
      <c r="X49" s="149" t="n"/>
      <c r="Y49" s="149" t="n"/>
      <c r="Z49" s="149" t="n"/>
      <c r="AA49" s="149" t="n"/>
      <c r="AB49" s="149" t="n"/>
      <c r="AC49" s="149" t="n"/>
      <c r="AD49" s="149" t="n"/>
      <c r="AE49" s="149" t="n"/>
      <c r="AF49" s="150" t="inlineStr">
        <is>
          <t>✓</t>
        </is>
      </c>
      <c r="AG49" s="149" t="n"/>
      <c r="AH49" s="149" t="n"/>
      <c r="AI49" s="149" t="n"/>
      <c r="AJ49" s="149" t="n"/>
      <c r="AK49" s="149" t="n"/>
      <c r="AL49" s="149" t="n"/>
      <c r="AM49" s="149" t="n"/>
      <c r="AN49" s="149" t="n"/>
      <c r="AO49" s="149" t="n"/>
      <c r="AP49" s="149" t="n"/>
      <c r="AQ49" s="149" t="n"/>
      <c r="AR49" s="149" t="n"/>
      <c r="AS49" s="149" t="n"/>
      <c r="AT49" s="149" t="n"/>
      <c r="AU49" s="149" t="n"/>
      <c r="AV49" s="149" t="n"/>
      <c r="AW49" s="149" t="n"/>
      <c r="AX49" s="149" t="n"/>
      <c r="AY49" s="149" t="n"/>
      <c r="AZ49" s="149" t="n"/>
      <c r="BA49" s="149" t="n"/>
      <c r="BB49" s="149" t="n"/>
      <c r="BC49" s="149" t="n"/>
      <c r="BD49" s="149" t="n"/>
      <c r="BE49" s="149" t="n"/>
    </row>
    <row r="51">
      <c r="A51" s="146" t="inlineStr">
        <is>
          <t>NIST (7 ฉบับ)</t>
        </is>
      </c>
      <c r="B51" s="147" t="n"/>
      <c r="C51" s="147" t="n"/>
      <c r="D51" s="147" t="n"/>
      <c r="E51" s="147" t="n"/>
      <c r="F51" s="147" t="n"/>
      <c r="G51" s="147" t="n"/>
      <c r="H51" s="147" t="n"/>
      <c r="I51" s="147" t="n"/>
      <c r="J51" s="147" t="n"/>
      <c r="K51" s="147" t="n"/>
      <c r="L51" s="147" t="n"/>
      <c r="M51" s="147" t="n"/>
      <c r="N51" s="147" t="n"/>
      <c r="O51" s="147" t="n"/>
      <c r="P51" s="147" t="n"/>
      <c r="Q51" s="147" t="n"/>
      <c r="R51" s="147" t="n"/>
      <c r="S51" s="147" t="n"/>
      <c r="T51" s="147" t="n"/>
      <c r="U51" s="147" t="n"/>
      <c r="V51" s="147" t="n"/>
      <c r="W51" s="147" t="n"/>
      <c r="X51" s="147" t="n"/>
      <c r="Y51" s="147" t="n"/>
      <c r="Z51" s="147" t="n"/>
      <c r="AA51" s="147" t="n"/>
      <c r="AB51" s="147" t="n"/>
      <c r="AC51" s="147" t="n"/>
      <c r="AD51" s="147" t="n"/>
      <c r="AE51" s="147" t="n"/>
      <c r="AF51" s="147" t="n"/>
      <c r="AG51" s="147" t="n"/>
      <c r="AH51" s="147" t="n"/>
      <c r="AI51" s="147" t="n"/>
      <c r="AJ51" s="147" t="n"/>
      <c r="AK51" s="147" t="n"/>
      <c r="AL51" s="147" t="n"/>
      <c r="AM51" s="147" t="n"/>
      <c r="AN51" s="147" t="n"/>
      <c r="AO51" s="147" t="n"/>
      <c r="AP51" s="147" t="n"/>
      <c r="AQ51" s="147" t="n"/>
      <c r="AR51" s="147" t="n"/>
      <c r="AS51" s="147" t="n"/>
      <c r="AT51" s="147" t="n"/>
      <c r="AU51" s="147" t="n"/>
      <c r="AV51" s="147" t="n"/>
      <c r="AW51" s="147" t="n"/>
      <c r="AX51" s="147" t="n"/>
      <c r="AY51" s="147" t="n"/>
      <c r="AZ51" s="147" t="n"/>
      <c r="BA51" s="147" t="n"/>
      <c r="BB51" s="147" t="n"/>
      <c r="BC51" s="147" t="n"/>
      <c r="BD51" s="147" t="n"/>
      <c r="BE51" s="147" t="n"/>
    </row>
    <row r="52" ht="30" customHeight="1">
      <c r="A52" s="25" t="inlineStr">
        <is>
          <t>NIST-SSDF-800-218</t>
        </is>
      </c>
      <c r="B52" s="27" t="inlineStr">
        <is>
          <t>สากล</t>
        </is>
      </c>
      <c r="C52" s="25" t="inlineStr">
        <is>
          <t>nist</t>
        </is>
      </c>
      <c r="D52" s="151" t="inlineStr">
        <is>
          <t>NIST SP 800-218 — Secure Software Development Framework (SSDF)</t>
        </is>
      </c>
      <c r="E52" s="25" t="inlineStr">
        <is>
          <t>NIST</t>
        </is>
      </c>
      <c r="F52" s="26" t="inlineStr">
        <is>
          <t>กลุ่มปฏิบัติ PO / PS / PW / RV ใช้อ้างอิงเป็นเกณฑ์ Secure SDLC</t>
        </is>
      </c>
      <c r="G52" s="27" t="n">
        <v>7</v>
      </c>
      <c r="H52" s="150" t="inlineStr">
        <is>
          <t>✓</t>
        </is>
      </c>
      <c r="I52" s="150" t="inlineStr">
        <is>
          <t>✓</t>
        </is>
      </c>
      <c r="J52" s="150" t="inlineStr">
        <is>
          <t>✓</t>
        </is>
      </c>
      <c r="K52" s="149" t="n"/>
      <c r="L52" s="149" t="n"/>
      <c r="M52" s="150" t="inlineStr">
        <is>
          <t>✓</t>
        </is>
      </c>
      <c r="N52" s="149" t="n"/>
      <c r="O52" s="149" t="n"/>
      <c r="P52" s="149" t="n"/>
      <c r="Q52" s="149" t="n"/>
      <c r="R52" s="149" t="n"/>
      <c r="S52" s="149" t="n"/>
      <c r="T52" s="149" t="n"/>
      <c r="U52" s="149" t="n"/>
      <c r="V52" s="149" t="n"/>
      <c r="W52" s="150" t="inlineStr">
        <is>
          <t>✓</t>
        </is>
      </c>
      <c r="X52" s="149" t="n"/>
      <c r="Y52" s="149" t="n"/>
      <c r="Z52" s="150" t="inlineStr">
        <is>
          <t>✓</t>
        </is>
      </c>
      <c r="AA52" s="149" t="n"/>
      <c r="AB52" s="150" t="inlineStr">
        <is>
          <t>✓</t>
        </is>
      </c>
      <c r="AC52" s="149" t="n"/>
      <c r="AD52" s="149" t="n"/>
      <c r="AE52" s="149" t="n"/>
      <c r="AF52" s="149" t="n"/>
      <c r="AG52" s="149" t="n"/>
      <c r="AH52" s="149" t="n"/>
      <c r="AI52" s="149" t="n"/>
      <c r="AJ52" s="149" t="n"/>
      <c r="AK52" s="149" t="n"/>
      <c r="AL52" s="149" t="n"/>
      <c r="AM52" s="149" t="n"/>
      <c r="AN52" s="149" t="n"/>
      <c r="AO52" s="149" t="n"/>
      <c r="AP52" s="149" t="n"/>
      <c r="AQ52" s="149" t="n"/>
      <c r="AR52" s="149" t="n"/>
      <c r="AS52" s="149" t="n"/>
      <c r="AT52" s="149" t="n"/>
      <c r="AU52" s="149" t="n"/>
      <c r="AV52" s="149" t="n"/>
      <c r="AW52" s="149" t="n"/>
      <c r="AX52" s="149" t="n"/>
      <c r="AY52" s="149" t="n"/>
      <c r="AZ52" s="149" t="n"/>
      <c r="BA52" s="149" t="n"/>
      <c r="BB52" s="149" t="n"/>
      <c r="BC52" s="149" t="n"/>
      <c r="BD52" s="149" t="n"/>
      <c r="BE52" s="149" t="n"/>
    </row>
    <row r="53" ht="30" customHeight="1">
      <c r="A53" s="25" t="inlineStr">
        <is>
          <t>NIST-800-161r1</t>
        </is>
      </c>
      <c r="B53" s="27" t="inlineStr">
        <is>
          <t>สากล</t>
        </is>
      </c>
      <c r="C53" s="25" t="inlineStr">
        <is>
          <t>nist</t>
        </is>
      </c>
      <c r="D53" s="151" t="inlineStr">
        <is>
          <t>NIST SP 800-161r1 — การบริหารความเสี่ยงห่วงโซ่อุปทานไซเบอร์ (C-SCRM)</t>
        </is>
      </c>
      <c r="E53" s="25" t="inlineStr">
        <is>
          <t>NIST</t>
        </is>
      </c>
      <c r="F53" s="26" t="inlineStr">
        <is>
          <t>ความเสี่ยงจาก Third Party, Dependency Confusion, Typosquatting</t>
        </is>
      </c>
      <c r="G53" s="27" t="n">
        <v>5</v>
      </c>
      <c r="H53" s="149" t="n"/>
      <c r="I53" s="149" t="n"/>
      <c r="J53" s="149" t="n"/>
      <c r="K53" s="149" t="n"/>
      <c r="L53" s="149" t="n"/>
      <c r="M53" s="149" t="n"/>
      <c r="N53" s="149" t="n"/>
      <c r="O53" s="149" t="n"/>
      <c r="P53" s="149" t="n"/>
      <c r="Q53" s="149" t="n"/>
      <c r="R53" s="149" t="n"/>
      <c r="S53" s="149" t="n"/>
      <c r="T53" s="149" t="n"/>
      <c r="U53" s="149" t="n"/>
      <c r="V53" s="149" t="n"/>
      <c r="W53" s="150" t="inlineStr">
        <is>
          <t>✓</t>
        </is>
      </c>
      <c r="X53" s="150" t="inlineStr">
        <is>
          <t>✓</t>
        </is>
      </c>
      <c r="Y53" s="150" t="inlineStr">
        <is>
          <t>✓</t>
        </is>
      </c>
      <c r="Z53" s="150" t="inlineStr">
        <is>
          <t>✓</t>
        </is>
      </c>
      <c r="AA53" s="150" t="inlineStr">
        <is>
          <t>✓</t>
        </is>
      </c>
      <c r="AB53" s="149" t="n"/>
      <c r="AC53" s="149" t="n"/>
      <c r="AD53" s="149" t="n"/>
      <c r="AE53" s="149" t="n"/>
      <c r="AF53" s="149" t="n"/>
      <c r="AG53" s="149" t="n"/>
      <c r="AH53" s="149" t="n"/>
      <c r="AI53" s="149" t="n"/>
      <c r="AJ53" s="149" t="n"/>
      <c r="AK53" s="149" t="n"/>
      <c r="AL53" s="149" t="n"/>
      <c r="AM53" s="149" t="n"/>
      <c r="AN53" s="149" t="n"/>
      <c r="AO53" s="149" t="n"/>
      <c r="AP53" s="149" t="n"/>
      <c r="AQ53" s="149" t="n"/>
      <c r="AR53" s="149" t="n"/>
      <c r="AS53" s="149" t="n"/>
      <c r="AT53" s="149" t="n"/>
      <c r="AU53" s="149" t="n"/>
      <c r="AV53" s="149" t="n"/>
      <c r="AW53" s="149" t="n"/>
      <c r="AX53" s="149" t="n"/>
      <c r="AY53" s="149" t="n"/>
      <c r="AZ53" s="149" t="n"/>
      <c r="BA53" s="149" t="n"/>
      <c r="BB53" s="149" t="n"/>
      <c r="BC53" s="149" t="n"/>
      <c r="BD53" s="149" t="n"/>
      <c r="BE53" s="149" t="n"/>
    </row>
    <row r="54" ht="30" customHeight="1">
      <c r="A54" s="25" t="inlineStr">
        <is>
          <t>NIST-800-207</t>
        </is>
      </c>
      <c r="B54" s="27" t="inlineStr">
        <is>
          <t>สากล</t>
        </is>
      </c>
      <c r="C54" s="25" t="inlineStr">
        <is>
          <t>nist</t>
        </is>
      </c>
      <c r="D54" s="151" t="inlineStr">
        <is>
          <t>NIST SP 800-207 — Zero Trust Architecture</t>
        </is>
      </c>
      <c r="E54" s="25" t="inlineStr">
        <is>
          <t>NIST</t>
        </is>
      </c>
      <c r="F54" s="26" t="inlineStr">
        <is>
          <t>ไม่เชื่อถือเครือข่ายภายในโดยปริยาย ตรวจสอบทุกการเข้าถึง</t>
        </is>
      </c>
      <c r="G54" s="27" t="n">
        <v>4</v>
      </c>
      <c r="H54" s="149" t="n"/>
      <c r="I54" s="149" t="n"/>
      <c r="J54" s="149" t="n"/>
      <c r="K54" s="149" t="n"/>
      <c r="L54" s="149" t="n"/>
      <c r="M54" s="149" t="n"/>
      <c r="N54" s="149" t="n"/>
      <c r="O54" s="149" t="n"/>
      <c r="P54" s="149" t="n"/>
      <c r="Q54" s="149" t="n"/>
      <c r="R54" s="149" t="n"/>
      <c r="S54" s="149" t="n"/>
      <c r="T54" s="149" t="n"/>
      <c r="U54" s="149" t="n"/>
      <c r="V54" s="149" t="n"/>
      <c r="W54" s="149" t="n"/>
      <c r="X54" s="149" t="n"/>
      <c r="Y54" s="149" t="n"/>
      <c r="Z54" s="149" t="n"/>
      <c r="AA54" s="149" t="n"/>
      <c r="AB54" s="149" t="n"/>
      <c r="AC54" s="149" t="n"/>
      <c r="AD54" s="149" t="n"/>
      <c r="AE54" s="149" t="n"/>
      <c r="AF54" s="149" t="n"/>
      <c r="AG54" s="149" t="n"/>
      <c r="AH54" s="150" t="inlineStr">
        <is>
          <t>✓</t>
        </is>
      </c>
      <c r="AI54" s="150" t="inlineStr">
        <is>
          <t>✓</t>
        </is>
      </c>
      <c r="AJ54" s="149" t="n"/>
      <c r="AK54" s="149" t="n"/>
      <c r="AL54" s="149" t="n"/>
      <c r="AM54" s="150" t="inlineStr">
        <is>
          <t>✓</t>
        </is>
      </c>
      <c r="AN54" s="149" t="n"/>
      <c r="AO54" s="149" t="n"/>
      <c r="AP54" s="149" t="n"/>
      <c r="AQ54" s="149" t="n"/>
      <c r="AR54" s="149" t="n"/>
      <c r="AS54" s="150" t="inlineStr">
        <is>
          <t>✓</t>
        </is>
      </c>
      <c r="AT54" s="149" t="n"/>
      <c r="AU54" s="149" t="n"/>
      <c r="AV54" s="149" t="n"/>
      <c r="AW54" s="149" t="n"/>
      <c r="AX54" s="149" t="n"/>
      <c r="AY54" s="149" t="n"/>
      <c r="AZ54" s="149" t="n"/>
      <c r="BA54" s="149" t="n"/>
      <c r="BB54" s="149" t="n"/>
      <c r="BC54" s="149" t="n"/>
      <c r="BD54" s="149" t="n"/>
      <c r="BE54" s="149" t="n"/>
    </row>
    <row r="55" ht="30" customHeight="1">
      <c r="A55" s="25" t="inlineStr">
        <is>
          <t>NIST-800-63B</t>
        </is>
      </c>
      <c r="B55" s="27" t="inlineStr">
        <is>
          <t>สากล</t>
        </is>
      </c>
      <c r="C55" s="25" t="inlineStr">
        <is>
          <t>nist</t>
        </is>
      </c>
      <c r="D55" s="151" t="inlineStr">
        <is>
          <t>NIST SP 800-63B — Digital Identity Guidelines: Authentication</t>
        </is>
      </c>
      <c r="E55" s="25" t="inlineStr">
        <is>
          <t>NIST</t>
        </is>
      </c>
      <c r="F55" s="26" t="inlineStr">
        <is>
          <t>ระดับ AAL, การเก็บรหัสผ่าน, MFA ที่ยอมรับได้</t>
        </is>
      </c>
      <c r="G55" s="27" t="n">
        <v>2</v>
      </c>
      <c r="H55" s="149" t="n"/>
      <c r="I55" s="149" t="n"/>
      <c r="J55" s="149" t="n"/>
      <c r="K55" s="149" t="n"/>
      <c r="L55" s="149" t="n"/>
      <c r="M55" s="149" t="n"/>
      <c r="N55" s="149" t="n"/>
      <c r="O55" s="149" t="n"/>
      <c r="P55" s="149" t="n"/>
      <c r="Q55" s="150" t="inlineStr">
        <is>
          <t>✓</t>
        </is>
      </c>
      <c r="R55" s="149" t="n"/>
      <c r="S55" s="149" t="n"/>
      <c r="T55" s="149" t="n"/>
      <c r="U55" s="149" t="n"/>
      <c r="V55" s="149" t="n"/>
      <c r="W55" s="149" t="n"/>
      <c r="X55" s="149" t="n"/>
      <c r="Y55" s="149" t="n"/>
      <c r="Z55" s="149" t="n"/>
      <c r="AA55" s="149" t="n"/>
      <c r="AB55" s="149" t="n"/>
      <c r="AC55" s="149" t="n"/>
      <c r="AD55" s="149" t="n"/>
      <c r="AE55" s="149" t="n"/>
      <c r="AF55" s="149" t="n"/>
      <c r="AG55" s="149" t="n"/>
      <c r="AH55" s="150" t="inlineStr">
        <is>
          <t>✓</t>
        </is>
      </c>
      <c r="AI55" s="149" t="n"/>
      <c r="AJ55" s="149" t="n"/>
      <c r="AK55" s="149" t="n"/>
      <c r="AL55" s="149" t="n"/>
      <c r="AM55" s="149" t="n"/>
      <c r="AN55" s="149" t="n"/>
      <c r="AO55" s="149" t="n"/>
      <c r="AP55" s="149" t="n"/>
      <c r="AQ55" s="149" t="n"/>
      <c r="AR55" s="149" t="n"/>
      <c r="AS55" s="149" t="n"/>
      <c r="AT55" s="149" t="n"/>
      <c r="AU55" s="149" t="n"/>
      <c r="AV55" s="149" t="n"/>
      <c r="AW55" s="149" t="n"/>
      <c r="AX55" s="149" t="n"/>
      <c r="AY55" s="149" t="n"/>
      <c r="AZ55" s="149" t="n"/>
      <c r="BA55" s="149" t="n"/>
      <c r="BB55" s="149" t="n"/>
      <c r="BC55" s="149" t="n"/>
      <c r="BD55" s="149" t="n"/>
      <c r="BE55" s="149" t="n"/>
    </row>
    <row r="56" ht="30" customHeight="1">
      <c r="A56" s="25" t="inlineStr">
        <is>
          <t>NIST-CSF-2</t>
        </is>
      </c>
      <c r="B56" s="27" t="inlineStr">
        <is>
          <t>สากล</t>
        </is>
      </c>
      <c r="C56" s="25" t="inlineStr">
        <is>
          <t>nist</t>
        </is>
      </c>
      <c r="D56" s="151" t="inlineStr">
        <is>
          <t>NIST Cybersecurity Framework 2.0</t>
        </is>
      </c>
      <c r="E56" s="25" t="inlineStr">
        <is>
          <t>NIST</t>
        </is>
      </c>
      <c r="F56" s="26" t="inlineStr">
        <is>
          <t>6 หน้าที่: Govern, Identify, Protect, Detect, Respond, Recover</t>
        </is>
      </c>
      <c r="G56" s="27" t="n">
        <v>5</v>
      </c>
      <c r="H56" s="149" t="n"/>
      <c r="I56" s="149" t="n"/>
      <c r="J56" s="149" t="n"/>
      <c r="K56" s="149" t="n"/>
      <c r="L56" s="149" t="n"/>
      <c r="M56" s="149" t="n"/>
      <c r="N56" s="149" t="n"/>
      <c r="O56" s="149" t="n"/>
      <c r="P56" s="149" t="n"/>
      <c r="Q56" s="149" t="n"/>
      <c r="R56" s="149" t="n"/>
      <c r="S56" s="149" t="n"/>
      <c r="T56" s="149" t="n"/>
      <c r="U56" s="149" t="n"/>
      <c r="V56" s="149" t="n"/>
      <c r="W56" s="149" t="n"/>
      <c r="X56" s="149" t="n"/>
      <c r="Y56" s="149" t="n"/>
      <c r="Z56" s="149" t="n"/>
      <c r="AA56" s="149" t="n"/>
      <c r="AB56" s="149" t="n"/>
      <c r="AC56" s="149" t="n"/>
      <c r="AD56" s="149" t="n"/>
      <c r="AE56" s="149" t="n"/>
      <c r="AF56" s="149" t="n"/>
      <c r="AG56" s="149" t="n"/>
      <c r="AH56" s="149" t="n"/>
      <c r="AI56" s="149" t="n"/>
      <c r="AJ56" s="149" t="n"/>
      <c r="AK56" s="149" t="n"/>
      <c r="AL56" s="149" t="n"/>
      <c r="AM56" s="150" t="inlineStr">
        <is>
          <t>✓</t>
        </is>
      </c>
      <c r="AN56" s="149" t="n"/>
      <c r="AO56" s="150" t="inlineStr">
        <is>
          <t>✓</t>
        </is>
      </c>
      <c r="AP56" s="150" t="inlineStr">
        <is>
          <t>✓</t>
        </is>
      </c>
      <c r="AQ56" s="149" t="n"/>
      <c r="AR56" s="149" t="n"/>
      <c r="AS56" s="149" t="n"/>
      <c r="AT56" s="150" t="inlineStr">
        <is>
          <t>✓</t>
        </is>
      </c>
      <c r="AU56" s="149" t="n"/>
      <c r="AV56" s="149" t="n"/>
      <c r="AW56" s="149" t="n"/>
      <c r="AX56" s="150" t="inlineStr">
        <is>
          <t>✓</t>
        </is>
      </c>
      <c r="AY56" s="149" t="n"/>
      <c r="AZ56" s="149" t="n"/>
      <c r="BA56" s="149" t="n"/>
      <c r="BB56" s="149" t="n"/>
      <c r="BC56" s="149" t="n"/>
      <c r="BD56" s="149" t="n"/>
      <c r="BE56" s="149" t="n"/>
    </row>
    <row r="57" ht="30" customHeight="1">
      <c r="A57" s="25" t="inlineStr">
        <is>
          <t>NIST-800-53r5</t>
        </is>
      </c>
      <c r="B57" s="27" t="inlineStr">
        <is>
          <t>สากล</t>
        </is>
      </c>
      <c r="C57" s="25" t="inlineStr">
        <is>
          <t>nist</t>
        </is>
      </c>
      <c r="D57" s="151" t="inlineStr">
        <is>
          <t>NIST SP 800-53 Rev.5 — Security and Privacy Controls</t>
        </is>
      </c>
      <c r="E57" s="25" t="inlineStr">
        <is>
          <t>NIST</t>
        </is>
      </c>
      <c r="F57" s="26" t="inlineStr">
        <is>
          <t>ชุดควบคุมละเอียดตามตระกูล AC, AU, CM, CP, SI ใช้เทียบเคียงมาตรฐานขั้นต่ำของไทย</t>
        </is>
      </c>
      <c r="G57" s="27" t="n">
        <v>6</v>
      </c>
      <c r="H57" s="149" t="n"/>
      <c r="I57" s="149" t="n"/>
      <c r="J57" s="150" t="inlineStr">
        <is>
          <t>✓</t>
        </is>
      </c>
      <c r="K57" s="149" t="n"/>
      <c r="L57" s="149" t="n"/>
      <c r="M57" s="149" t="n"/>
      <c r="N57" s="149" t="n"/>
      <c r="O57" s="149" t="n"/>
      <c r="P57" s="149" t="n"/>
      <c r="Q57" s="149" t="n"/>
      <c r="R57" s="149" t="n"/>
      <c r="S57" s="149" t="n"/>
      <c r="T57" s="149" t="n"/>
      <c r="U57" s="150" t="inlineStr">
        <is>
          <t>✓</t>
        </is>
      </c>
      <c r="V57" s="149" t="n"/>
      <c r="W57" s="149" t="n"/>
      <c r="X57" s="149" t="n"/>
      <c r="Y57" s="149" t="n"/>
      <c r="Z57" s="149" t="n"/>
      <c r="AA57" s="149" t="n"/>
      <c r="AB57" s="149" t="n"/>
      <c r="AC57" s="149" t="n"/>
      <c r="AD57" s="149" t="n"/>
      <c r="AE57" s="149" t="n"/>
      <c r="AF57" s="149" t="n"/>
      <c r="AG57" s="149" t="n"/>
      <c r="AH57" s="149" t="n"/>
      <c r="AI57" s="150" t="inlineStr">
        <is>
          <t>✓</t>
        </is>
      </c>
      <c r="AJ57" s="149" t="n"/>
      <c r="AK57" s="149" t="n"/>
      <c r="AL57" s="149" t="n"/>
      <c r="AM57" s="149" t="n"/>
      <c r="AN57" s="150" t="inlineStr">
        <is>
          <t>✓</t>
        </is>
      </c>
      <c r="AO57" s="149" t="n"/>
      <c r="AP57" s="150" t="inlineStr">
        <is>
          <t>✓</t>
        </is>
      </c>
      <c r="AQ57" s="149" t="n"/>
      <c r="AR57" s="149" t="n"/>
      <c r="AS57" s="149" t="n"/>
      <c r="AT57" s="149" t="n"/>
      <c r="AU57" s="149" t="n"/>
      <c r="AV57" s="149" t="n"/>
      <c r="AW57" s="150" t="inlineStr">
        <is>
          <t>✓</t>
        </is>
      </c>
      <c r="AX57" s="149" t="n"/>
      <c r="AY57" s="149" t="n"/>
      <c r="AZ57" s="149" t="n"/>
      <c r="BA57" s="149" t="n"/>
      <c r="BB57" s="149" t="n"/>
      <c r="BC57" s="149" t="n"/>
      <c r="BD57" s="149" t="n"/>
      <c r="BE57" s="149" t="n"/>
    </row>
    <row r="58" ht="30" customHeight="1">
      <c r="A58" s="25" t="inlineStr">
        <is>
          <t>NIST-PQC-CSWP39 ⚠</t>
        </is>
      </c>
      <c r="B58" s="27" t="inlineStr">
        <is>
          <t>สากล</t>
        </is>
      </c>
      <c r="C58" s="25" t="inlineStr">
        <is>
          <t>nist</t>
        </is>
      </c>
      <c r="D58" s="151" t="inlineStr">
        <is>
          <t>NIST Post-Quantum Cryptography Migration (CSWP 39 / PQC Standards)</t>
        </is>
      </c>
      <c r="E58" s="25" t="inlineStr">
        <is>
          <t>NIST / NCCoE</t>
        </is>
      </c>
      <c r="F58" s="26" t="inlineStr">
        <is>
          <t>การทำบัญชีการเข้ารหัสและแผนย้ายไปอัลกอริทึมทนควอนตัม</t>
        </is>
      </c>
      <c r="G58" s="27" t="n">
        <v>2</v>
      </c>
      <c r="H58" s="149" t="n"/>
      <c r="I58" s="149" t="n"/>
      <c r="J58" s="149" t="n"/>
      <c r="K58" s="149" t="n"/>
      <c r="L58" s="149" t="n"/>
      <c r="M58" s="149" t="n"/>
      <c r="N58" s="149" t="n"/>
      <c r="O58" s="149" t="n"/>
      <c r="P58" s="149" t="n"/>
      <c r="Q58" s="149" t="n"/>
      <c r="R58" s="149" t="n"/>
      <c r="S58" s="149" t="n"/>
      <c r="T58" s="149" t="n"/>
      <c r="U58" s="149" t="n"/>
      <c r="V58" s="149" t="n"/>
      <c r="W58" s="149" t="n"/>
      <c r="X58" s="149" t="n"/>
      <c r="Y58" s="149" t="n"/>
      <c r="Z58" s="149" t="n"/>
      <c r="AA58" s="149" t="n"/>
      <c r="AB58" s="149" t="n"/>
      <c r="AC58" s="149" t="n"/>
      <c r="AD58" s="149" t="n"/>
      <c r="AE58" s="150" t="inlineStr">
        <is>
          <t>✓</t>
        </is>
      </c>
      <c r="AF58" s="149" t="n"/>
      <c r="AG58" s="150" t="inlineStr">
        <is>
          <t>✓</t>
        </is>
      </c>
      <c r="AH58" s="149" t="n"/>
      <c r="AI58" s="149" t="n"/>
      <c r="AJ58" s="149" t="n"/>
      <c r="AK58" s="149" t="n"/>
      <c r="AL58" s="149" t="n"/>
      <c r="AM58" s="149" t="n"/>
      <c r="AN58" s="149" t="n"/>
      <c r="AO58" s="149" t="n"/>
      <c r="AP58" s="149" t="n"/>
      <c r="AQ58" s="149" t="n"/>
      <c r="AR58" s="149" t="n"/>
      <c r="AS58" s="149" t="n"/>
      <c r="AT58" s="149" t="n"/>
      <c r="AU58" s="149" t="n"/>
      <c r="AV58" s="149" t="n"/>
      <c r="AW58" s="149" t="n"/>
      <c r="AX58" s="149" t="n"/>
      <c r="AY58" s="149" t="n"/>
      <c r="AZ58" s="149" t="n"/>
      <c r="BA58" s="149" t="n"/>
      <c r="BB58" s="149" t="n"/>
      <c r="BC58" s="149" t="n"/>
      <c r="BD58" s="149" t="n"/>
      <c r="BE58" s="149" t="n"/>
    </row>
    <row r="60">
      <c r="A60" s="146" t="inlineStr">
        <is>
          <t>CIS (2 ฉบับ)</t>
        </is>
      </c>
      <c r="B60" s="147" t="n"/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147" t="n"/>
      <c r="L60" s="147" t="n"/>
      <c r="M60" s="147" t="n"/>
      <c r="N60" s="147" t="n"/>
      <c r="O60" s="147" t="n"/>
      <c r="P60" s="147" t="n"/>
      <c r="Q60" s="147" t="n"/>
      <c r="R60" s="147" t="n"/>
      <c r="S60" s="147" t="n"/>
      <c r="T60" s="147" t="n"/>
      <c r="U60" s="147" t="n"/>
      <c r="V60" s="147" t="n"/>
      <c r="W60" s="147" t="n"/>
      <c r="X60" s="147" t="n"/>
      <c r="Y60" s="147" t="n"/>
      <c r="Z60" s="147" t="n"/>
      <c r="AA60" s="147" t="n"/>
      <c r="AB60" s="147" t="n"/>
      <c r="AC60" s="147" t="n"/>
      <c r="AD60" s="147" t="n"/>
      <c r="AE60" s="147" t="n"/>
      <c r="AF60" s="147" t="n"/>
      <c r="AG60" s="147" t="n"/>
      <c r="AH60" s="147" t="n"/>
      <c r="AI60" s="147" t="n"/>
      <c r="AJ60" s="147" t="n"/>
      <c r="AK60" s="147" t="n"/>
      <c r="AL60" s="147" t="n"/>
      <c r="AM60" s="147" t="n"/>
      <c r="AN60" s="147" t="n"/>
      <c r="AO60" s="147" t="n"/>
      <c r="AP60" s="147" t="n"/>
      <c r="AQ60" s="147" t="n"/>
      <c r="AR60" s="147" t="n"/>
      <c r="AS60" s="147" t="n"/>
      <c r="AT60" s="147" t="n"/>
      <c r="AU60" s="147" t="n"/>
      <c r="AV60" s="147" t="n"/>
      <c r="AW60" s="147" t="n"/>
      <c r="AX60" s="147" t="n"/>
      <c r="AY60" s="147" t="n"/>
      <c r="AZ60" s="147" t="n"/>
      <c r="BA60" s="147" t="n"/>
      <c r="BB60" s="147" t="n"/>
      <c r="BC60" s="147" t="n"/>
      <c r="BD60" s="147" t="n"/>
      <c r="BE60" s="147" t="n"/>
    </row>
    <row r="61" ht="30" customHeight="1">
      <c r="A61" s="25" t="inlineStr">
        <is>
          <t>CIS-CONTROLS-8</t>
        </is>
      </c>
      <c r="B61" s="27" t="inlineStr">
        <is>
          <t>สากล</t>
        </is>
      </c>
      <c r="C61" s="25" t="inlineStr">
        <is>
          <t>cis</t>
        </is>
      </c>
      <c r="D61" s="151" t="inlineStr">
        <is>
          <t>CIS Critical Security Controls v8.1</t>
        </is>
      </c>
      <c r="E61" s="25" t="inlineStr">
        <is>
          <t>Center for Internet Security</t>
        </is>
      </c>
      <c r="F61" s="26" t="inlineStr">
        <is>
          <t>18 มาตรการเรียงตามลำดับความสำคัญ เหมาะใช้เป็น roadmap</t>
        </is>
      </c>
      <c r="G61" s="27" t="n">
        <v>8</v>
      </c>
      <c r="H61" s="149" t="n"/>
      <c r="I61" s="149" t="n"/>
      <c r="J61" s="150" t="inlineStr">
        <is>
          <t>✓</t>
        </is>
      </c>
      <c r="K61" s="149" t="n"/>
      <c r="L61" s="149" t="n"/>
      <c r="M61" s="149" t="n"/>
      <c r="N61" s="149" t="n"/>
      <c r="O61" s="149" t="n"/>
      <c r="P61" s="149" t="n"/>
      <c r="Q61" s="149" t="n"/>
      <c r="R61" s="149" t="n"/>
      <c r="S61" s="149" t="n"/>
      <c r="T61" s="149" t="n"/>
      <c r="U61" s="150" t="inlineStr">
        <is>
          <t>✓</t>
        </is>
      </c>
      <c r="V61" s="149" t="n"/>
      <c r="W61" s="149" t="n"/>
      <c r="X61" s="150" t="inlineStr">
        <is>
          <t>✓</t>
        </is>
      </c>
      <c r="Y61" s="149" t="n"/>
      <c r="Z61" s="149" t="n"/>
      <c r="AA61" s="149" t="n"/>
      <c r="AB61" s="149" t="n"/>
      <c r="AC61" s="149" t="n"/>
      <c r="AD61" s="149" t="n"/>
      <c r="AE61" s="149" t="n"/>
      <c r="AF61" s="149" t="n"/>
      <c r="AG61" s="149" t="n"/>
      <c r="AH61" s="150" t="inlineStr">
        <is>
          <t>✓</t>
        </is>
      </c>
      <c r="AI61" s="149" t="n"/>
      <c r="AJ61" s="149" t="n"/>
      <c r="AK61" s="149" t="n"/>
      <c r="AL61" s="150" t="inlineStr">
        <is>
          <t>✓</t>
        </is>
      </c>
      <c r="AM61" s="149" t="n"/>
      <c r="AN61" s="149" t="n"/>
      <c r="AO61" s="149" t="n"/>
      <c r="AP61" s="150" t="inlineStr">
        <is>
          <t>✓</t>
        </is>
      </c>
      <c r="AQ61" s="149" t="n"/>
      <c r="AR61" s="149" t="n"/>
      <c r="AS61" s="149" t="n"/>
      <c r="AT61" s="149" t="n"/>
      <c r="AU61" s="149" t="n"/>
      <c r="AV61" s="150" t="inlineStr">
        <is>
          <t>✓</t>
        </is>
      </c>
      <c r="AW61" s="150" t="inlineStr">
        <is>
          <t>✓</t>
        </is>
      </c>
      <c r="AX61" s="149" t="n"/>
      <c r="AY61" s="149" t="n"/>
      <c r="AZ61" s="149" t="n"/>
      <c r="BA61" s="149" t="n"/>
      <c r="BB61" s="149" t="n"/>
      <c r="BC61" s="149" t="n"/>
      <c r="BD61" s="149" t="n"/>
      <c r="BE61" s="149" t="n"/>
    </row>
    <row r="62" ht="30" customHeight="1">
      <c r="A62" s="25" t="inlineStr">
        <is>
          <t>CIS-BENCH-K8S</t>
        </is>
      </c>
      <c r="B62" s="27" t="inlineStr">
        <is>
          <t>สากล</t>
        </is>
      </c>
      <c r="C62" s="25" t="inlineStr">
        <is>
          <t>cis</t>
        </is>
      </c>
      <c r="D62" s="151" t="inlineStr">
        <is>
          <t>CIS Benchmarks (Kubernetes / Docker / Linux)</t>
        </is>
      </c>
      <c r="E62" s="25" t="inlineStr">
        <is>
          <t>Center for Internet Security</t>
        </is>
      </c>
      <c r="F62" s="26" t="inlineStr">
        <is>
          <t>เกณฑ์การตั้งค่าระดับระบบปฏิบัติการและ Container Platform</t>
        </is>
      </c>
      <c r="G62" s="27" t="n">
        <v>6</v>
      </c>
      <c r="H62" s="149" t="n"/>
      <c r="I62" s="149" t="n"/>
      <c r="J62" s="149" t="n"/>
      <c r="K62" s="149" t="n"/>
      <c r="L62" s="149" t="n"/>
      <c r="M62" s="149" t="n"/>
      <c r="N62" s="149" t="n"/>
      <c r="O62" s="149" t="n"/>
      <c r="P62" s="149" t="n"/>
      <c r="Q62" s="149" t="n"/>
      <c r="R62" s="149" t="n"/>
      <c r="S62" s="149" t="n"/>
      <c r="T62" s="149" t="n"/>
      <c r="U62" s="149" t="n"/>
      <c r="V62" s="149" t="n"/>
      <c r="W62" s="149" t="n"/>
      <c r="X62" s="149" t="n"/>
      <c r="Y62" s="149" t="n"/>
      <c r="Z62" s="149" t="n"/>
      <c r="AA62" s="149" t="n"/>
      <c r="AB62" s="149" t="n"/>
      <c r="AC62" s="150" t="inlineStr">
        <is>
          <t>✓</t>
        </is>
      </c>
      <c r="AD62" s="150" t="inlineStr">
        <is>
          <t>✓</t>
        </is>
      </c>
      <c r="AE62" s="149" t="n"/>
      <c r="AF62" s="149" t="n"/>
      <c r="AG62" s="149" t="n"/>
      <c r="AH62" s="149" t="n"/>
      <c r="AI62" s="150" t="inlineStr">
        <is>
          <t>✓</t>
        </is>
      </c>
      <c r="AJ62" s="149" t="n"/>
      <c r="AK62" s="149" t="n"/>
      <c r="AL62" s="149" t="n"/>
      <c r="AM62" s="149" t="n"/>
      <c r="AN62" s="149" t="n"/>
      <c r="AO62" s="149" t="n"/>
      <c r="AP62" s="150" t="inlineStr">
        <is>
          <t>✓</t>
        </is>
      </c>
      <c r="AQ62" s="150" t="inlineStr">
        <is>
          <t>✓</t>
        </is>
      </c>
      <c r="AR62" s="149" t="n"/>
      <c r="AS62" s="150" t="inlineStr">
        <is>
          <t>✓</t>
        </is>
      </c>
      <c r="AT62" s="149" t="n"/>
      <c r="AU62" s="149" t="n"/>
      <c r="AV62" s="149" t="n"/>
      <c r="AW62" s="149" t="n"/>
      <c r="AX62" s="149" t="n"/>
      <c r="AY62" s="149" t="n"/>
      <c r="AZ62" s="149" t="n"/>
      <c r="BA62" s="149" t="n"/>
      <c r="BB62" s="149" t="n"/>
      <c r="BC62" s="149" t="n"/>
      <c r="BD62" s="149" t="n"/>
      <c r="BE62" s="149" t="n"/>
    </row>
    <row r="64">
      <c r="A64" s="146" t="inlineStr">
        <is>
          <t>Supply Chain &amp; SBOM (3 ฉบับ)</t>
        </is>
      </c>
      <c r="B64" s="147" t="n"/>
      <c r="C64" s="147" t="n"/>
      <c r="D64" s="147" t="n"/>
      <c r="E64" s="147" t="n"/>
      <c r="F64" s="147" t="n"/>
      <c r="G64" s="147" t="n"/>
      <c r="H64" s="147" t="n"/>
      <c r="I64" s="147" t="n"/>
      <c r="J64" s="147" t="n"/>
      <c r="K64" s="147" t="n"/>
      <c r="L64" s="147" t="n"/>
      <c r="M64" s="147" t="n"/>
      <c r="N64" s="147" t="n"/>
      <c r="O64" s="147" t="n"/>
      <c r="P64" s="147" t="n"/>
      <c r="Q64" s="147" t="n"/>
      <c r="R64" s="147" t="n"/>
      <c r="S64" s="147" t="n"/>
      <c r="T64" s="147" t="n"/>
      <c r="U64" s="147" t="n"/>
      <c r="V64" s="147" t="n"/>
      <c r="W64" s="147" t="n"/>
      <c r="X64" s="147" t="n"/>
      <c r="Y64" s="147" t="n"/>
      <c r="Z64" s="147" t="n"/>
      <c r="AA64" s="147" t="n"/>
      <c r="AB64" s="147" t="n"/>
      <c r="AC64" s="147" t="n"/>
      <c r="AD64" s="147" t="n"/>
      <c r="AE64" s="147" t="n"/>
      <c r="AF64" s="147" t="n"/>
      <c r="AG64" s="147" t="n"/>
      <c r="AH64" s="147" t="n"/>
      <c r="AI64" s="147" t="n"/>
      <c r="AJ64" s="147" t="n"/>
      <c r="AK64" s="147" t="n"/>
      <c r="AL64" s="147" t="n"/>
      <c r="AM64" s="147" t="n"/>
      <c r="AN64" s="147" t="n"/>
      <c r="AO64" s="147" t="n"/>
      <c r="AP64" s="147" t="n"/>
      <c r="AQ64" s="147" t="n"/>
      <c r="AR64" s="147" t="n"/>
      <c r="AS64" s="147" t="n"/>
      <c r="AT64" s="147" t="n"/>
      <c r="AU64" s="147" t="n"/>
      <c r="AV64" s="147" t="n"/>
      <c r="AW64" s="147" t="n"/>
      <c r="AX64" s="147" t="n"/>
      <c r="AY64" s="147" t="n"/>
      <c r="AZ64" s="147" t="n"/>
      <c r="BA64" s="147" t="n"/>
      <c r="BB64" s="147" t="n"/>
      <c r="BC64" s="147" t="n"/>
      <c r="BD64" s="147" t="n"/>
      <c r="BE64" s="147" t="n"/>
    </row>
    <row r="65" ht="30" customHeight="1">
      <c r="A65" s="25" t="inlineStr">
        <is>
          <t>SLSA-1-0</t>
        </is>
      </c>
      <c r="B65" s="27" t="inlineStr">
        <is>
          <t>สากล</t>
        </is>
      </c>
      <c r="C65" s="25" t="inlineStr">
        <is>
          <t>supplychain</t>
        </is>
      </c>
      <c r="D65" s="151" t="inlineStr">
        <is>
          <t>SLSA v1.0 — Supply-chain Levels for Software Artifacts</t>
        </is>
      </c>
      <c r="E65" s="25" t="inlineStr">
        <is>
          <t>OpenSSF</t>
        </is>
      </c>
      <c r="F65" s="26" t="inlineStr">
        <is>
          <t>ระดับ Build L1-L3 พร้อมข้อกำหนดเรื่อง Provenance และ Hermetic Build</t>
        </is>
      </c>
      <c r="G65" s="27" t="n">
        <v>5</v>
      </c>
      <c r="H65" s="149" t="n"/>
      <c r="I65" s="150" t="inlineStr">
        <is>
          <t>✓</t>
        </is>
      </c>
      <c r="J65" s="149" t="n"/>
      <c r="K65" s="149" t="n"/>
      <c r="L65" s="149" t="n"/>
      <c r="M65" s="149" t="n"/>
      <c r="N65" s="149" t="n"/>
      <c r="O65" s="149" t="n"/>
      <c r="P65" s="149" t="n"/>
      <c r="Q65" s="149" t="n"/>
      <c r="R65" s="149" t="n"/>
      <c r="S65" s="149" t="n"/>
      <c r="T65" s="149" t="n"/>
      <c r="U65" s="149" t="n"/>
      <c r="V65" s="149" t="n"/>
      <c r="W65" s="150" t="inlineStr">
        <is>
          <t>✓</t>
        </is>
      </c>
      <c r="X65" s="149" t="n"/>
      <c r="Y65" s="149" t="n"/>
      <c r="Z65" s="150" t="inlineStr">
        <is>
          <t>✓</t>
        </is>
      </c>
      <c r="AA65" s="149" t="n"/>
      <c r="AB65" s="150" t="inlineStr">
        <is>
          <t>✓</t>
        </is>
      </c>
      <c r="AC65" s="150" t="inlineStr">
        <is>
          <t>✓</t>
        </is>
      </c>
      <c r="AD65" s="149" t="n"/>
      <c r="AE65" s="149" t="n"/>
      <c r="AF65" s="149" t="n"/>
      <c r="AG65" s="149" t="n"/>
      <c r="AH65" s="149" t="n"/>
      <c r="AI65" s="149" t="n"/>
      <c r="AJ65" s="149" t="n"/>
      <c r="AK65" s="149" t="n"/>
      <c r="AL65" s="149" t="n"/>
      <c r="AM65" s="149" t="n"/>
      <c r="AN65" s="149" t="n"/>
      <c r="AO65" s="149" t="n"/>
      <c r="AP65" s="149" t="n"/>
      <c r="AQ65" s="149" t="n"/>
      <c r="AR65" s="149" t="n"/>
      <c r="AS65" s="149" t="n"/>
      <c r="AT65" s="149" t="n"/>
      <c r="AU65" s="149" t="n"/>
      <c r="AV65" s="149" t="n"/>
      <c r="AW65" s="149" t="n"/>
      <c r="AX65" s="149" t="n"/>
      <c r="AY65" s="149" t="n"/>
      <c r="AZ65" s="149" t="n"/>
      <c r="BA65" s="149" t="n"/>
      <c r="BB65" s="149" t="n"/>
      <c r="BC65" s="149" t="n"/>
      <c r="BD65" s="149" t="n"/>
      <c r="BE65" s="149" t="n"/>
    </row>
    <row r="66" ht="30" customHeight="1">
      <c r="A66" s="25" t="inlineStr">
        <is>
          <t>SPDX-ISO5962</t>
        </is>
      </c>
      <c r="B66" s="27" t="inlineStr">
        <is>
          <t>สากล</t>
        </is>
      </c>
      <c r="C66" s="25" t="inlineStr">
        <is>
          <t>supplychain</t>
        </is>
      </c>
      <c r="D66" s="151" t="inlineStr">
        <is>
          <t>SPDX (ISO/IEC 5962:2021) — รูปแบบมาตรฐานของ SBOM</t>
        </is>
      </c>
      <c r="E66" s="25" t="inlineStr">
        <is>
          <t>Linux Foundation / ISO</t>
        </is>
      </c>
      <c r="F66" s="26" t="inlineStr">
        <is>
          <t>รูปแบบไฟล์ SBOM ที่หน่วยงานผู้ว่าจ้างมักระบุให้ส่งมอบ</t>
        </is>
      </c>
      <c r="G66" s="27" t="n">
        <v>2</v>
      </c>
      <c r="H66" s="149" t="n"/>
      <c r="I66" s="149" t="n"/>
      <c r="J66" s="149" t="n"/>
      <c r="K66" s="149" t="n"/>
      <c r="L66" s="149" t="n"/>
      <c r="M66" s="149" t="n"/>
      <c r="N66" s="149" t="n"/>
      <c r="O66" s="149" t="n"/>
      <c r="P66" s="149" t="n"/>
      <c r="Q66" s="149" t="n"/>
      <c r="R66" s="149" t="n"/>
      <c r="S66" s="149" t="n"/>
      <c r="T66" s="149" t="n"/>
      <c r="U66" s="149" t="n"/>
      <c r="V66" s="149" t="n"/>
      <c r="W66" s="150" t="inlineStr">
        <is>
          <t>✓</t>
        </is>
      </c>
      <c r="X66" s="149" t="n"/>
      <c r="Y66" s="150" t="inlineStr">
        <is>
          <t>✓</t>
        </is>
      </c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  <c r="AK66" s="149" t="n"/>
      <c r="AL66" s="149" t="n"/>
      <c r="AM66" s="149" t="n"/>
      <c r="AN66" s="149" t="n"/>
      <c r="AO66" s="149" t="n"/>
      <c r="AP66" s="149" t="n"/>
      <c r="AQ66" s="149" t="n"/>
      <c r="AR66" s="149" t="n"/>
      <c r="AS66" s="149" t="n"/>
      <c r="AT66" s="149" t="n"/>
      <c r="AU66" s="149" t="n"/>
      <c r="AV66" s="149" t="n"/>
      <c r="AW66" s="149" t="n"/>
      <c r="AX66" s="149" t="n"/>
      <c r="AY66" s="149" t="n"/>
      <c r="AZ66" s="149" t="n"/>
      <c r="BA66" s="149" t="n"/>
      <c r="BB66" s="149" t="n"/>
      <c r="BC66" s="149" t="n"/>
      <c r="BD66" s="149" t="n"/>
      <c r="BE66" s="149" t="n"/>
    </row>
    <row r="67" ht="30" customHeight="1">
      <c r="A67" s="25" t="inlineStr">
        <is>
          <t>CYCLONEDX-ECMA424</t>
        </is>
      </c>
      <c r="B67" s="27" t="inlineStr">
        <is>
          <t>สากล</t>
        </is>
      </c>
      <c r="C67" s="25" t="inlineStr">
        <is>
          <t>supplychain</t>
        </is>
      </c>
      <c r="D67" s="151" t="inlineStr">
        <is>
          <t>CycloneDX (ECMA-424) — รูปแบบมาตรฐานของ SBOM/VEX</t>
        </is>
      </c>
      <c r="E67" s="25" t="inlineStr">
        <is>
          <t>OWASP / Ecma International</t>
        </is>
      </c>
      <c r="F67" s="26" t="inlineStr">
        <is>
          <t>รองรับ SBOM, VEX และ CBOM (Crypto BOM) ในไฟล์เดียว</t>
        </is>
      </c>
      <c r="G67" s="27" t="n">
        <v>3</v>
      </c>
      <c r="H67" s="149" t="n"/>
      <c r="I67" s="149" t="n"/>
      <c r="J67" s="149" t="n"/>
      <c r="K67" s="149" t="n"/>
      <c r="L67" s="149" t="n"/>
      <c r="M67" s="149" t="n"/>
      <c r="N67" s="149" t="n"/>
      <c r="O67" s="149" t="n"/>
      <c r="P67" s="149" t="n"/>
      <c r="Q67" s="149" t="n"/>
      <c r="R67" s="149" t="n"/>
      <c r="S67" s="149" t="n"/>
      <c r="T67" s="149" t="n"/>
      <c r="U67" s="149" t="n"/>
      <c r="V67" s="149" t="n"/>
      <c r="W67" s="150" t="inlineStr">
        <is>
          <t>✓</t>
        </is>
      </c>
      <c r="X67" s="150" t="inlineStr">
        <is>
          <t>✓</t>
        </is>
      </c>
      <c r="Y67" s="149" t="n"/>
      <c r="Z67" s="149" t="n"/>
      <c r="AA67" s="149" t="n"/>
      <c r="AB67" s="149" t="n"/>
      <c r="AC67" s="149" t="n"/>
      <c r="AD67" s="149" t="n"/>
      <c r="AE67" s="149" t="n"/>
      <c r="AF67" s="149" t="n"/>
      <c r="AG67" s="150" t="inlineStr">
        <is>
          <t>✓</t>
        </is>
      </c>
      <c r="AH67" s="149" t="n"/>
      <c r="AI67" s="149" t="n"/>
      <c r="AJ67" s="149" t="n"/>
      <c r="AK67" s="149" t="n"/>
      <c r="AL67" s="149" t="n"/>
      <c r="AM67" s="149" t="n"/>
      <c r="AN67" s="149" t="n"/>
      <c r="AO67" s="149" t="n"/>
      <c r="AP67" s="149" t="n"/>
      <c r="AQ67" s="149" t="n"/>
      <c r="AR67" s="149" t="n"/>
      <c r="AS67" s="149" t="n"/>
      <c r="AT67" s="149" t="n"/>
      <c r="AU67" s="149" t="n"/>
      <c r="AV67" s="149" t="n"/>
      <c r="AW67" s="149" t="n"/>
      <c r="AX67" s="149" t="n"/>
      <c r="AY67" s="149" t="n"/>
      <c r="AZ67" s="149" t="n"/>
      <c r="BA67" s="149" t="n"/>
      <c r="BB67" s="149" t="n"/>
      <c r="BC67" s="149" t="n"/>
      <c r="BD67" s="149" t="n"/>
      <c r="BE67" s="149" t="n"/>
    </row>
    <row r="69">
      <c r="A69" s="146" t="inlineStr">
        <is>
          <t>มาตรฐานอุตสาหกรรม / การตรวจรับรอง (3 ฉบับ)</t>
        </is>
      </c>
      <c r="B69" s="147" t="n"/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147" t="n"/>
      <c r="L69" s="147" t="n"/>
      <c r="M69" s="147" t="n"/>
      <c r="N69" s="147" t="n"/>
      <c r="O69" s="147" t="n"/>
      <c r="P69" s="147" t="n"/>
      <c r="Q69" s="147" t="n"/>
      <c r="R69" s="147" t="n"/>
      <c r="S69" s="147" t="n"/>
      <c r="T69" s="147" t="n"/>
      <c r="U69" s="147" t="n"/>
      <c r="V69" s="147" t="n"/>
      <c r="W69" s="147" t="n"/>
      <c r="X69" s="147" t="n"/>
      <c r="Y69" s="147" t="n"/>
      <c r="Z69" s="147" t="n"/>
      <c r="AA69" s="147" t="n"/>
      <c r="AB69" s="147" t="n"/>
      <c r="AC69" s="147" t="n"/>
      <c r="AD69" s="147" t="n"/>
      <c r="AE69" s="147" t="n"/>
      <c r="AF69" s="147" t="n"/>
      <c r="AG69" s="147" t="n"/>
      <c r="AH69" s="147" t="n"/>
      <c r="AI69" s="147" t="n"/>
      <c r="AJ69" s="147" t="n"/>
      <c r="AK69" s="147" t="n"/>
      <c r="AL69" s="147" t="n"/>
      <c r="AM69" s="147" t="n"/>
      <c r="AN69" s="147" t="n"/>
      <c r="AO69" s="147" t="n"/>
      <c r="AP69" s="147" t="n"/>
      <c r="AQ69" s="147" t="n"/>
      <c r="AR69" s="147" t="n"/>
      <c r="AS69" s="147" t="n"/>
      <c r="AT69" s="147" t="n"/>
      <c r="AU69" s="147" t="n"/>
      <c r="AV69" s="147" t="n"/>
      <c r="AW69" s="147" t="n"/>
      <c r="AX69" s="147" t="n"/>
      <c r="AY69" s="147" t="n"/>
      <c r="AZ69" s="147" t="n"/>
      <c r="BA69" s="147" t="n"/>
      <c r="BB69" s="147" t="n"/>
      <c r="BC69" s="147" t="n"/>
      <c r="BD69" s="147" t="n"/>
      <c r="BE69" s="147" t="n"/>
    </row>
    <row r="70" ht="30" customHeight="1">
      <c r="A70" s="25" t="inlineStr">
        <is>
          <t>PCI-DSS-4</t>
        </is>
      </c>
      <c r="B70" s="27" t="inlineStr">
        <is>
          <t>สากล</t>
        </is>
      </c>
      <c r="C70" s="25" t="inlineStr">
        <is>
          <t>industry</t>
        </is>
      </c>
      <c r="D70" s="151" t="inlineStr">
        <is>
          <t>PCI DSS v4.0 — มาตรฐานความปลอดภัยข้อมูลบัตรชำระเงิน</t>
        </is>
      </c>
      <c r="E70" s="25" t="inlineStr">
        <is>
          <t>PCI Security Standards Council</t>
        </is>
      </c>
      <c r="F70" s="26" t="inlineStr">
        <is>
          <t>ใช้เมื่อระบบเกี่ยวข้องกับข้อมูลบัตรเครดิต/เดบิต</t>
        </is>
      </c>
      <c r="G70" s="27" t="n">
        <v>7</v>
      </c>
      <c r="H70" s="149" t="n"/>
      <c r="I70" s="149" t="n"/>
      <c r="J70" s="150" t="inlineStr">
        <is>
          <t>✓</t>
        </is>
      </c>
      <c r="K70" s="149" t="n"/>
      <c r="L70" s="149" t="n"/>
      <c r="M70" s="149" t="n"/>
      <c r="N70" s="149" t="n"/>
      <c r="O70" s="149" t="n"/>
      <c r="P70" s="149" t="n"/>
      <c r="Q70" s="149" t="n"/>
      <c r="R70" s="149" t="n"/>
      <c r="S70" s="149" t="n"/>
      <c r="T70" s="149" t="n"/>
      <c r="U70" s="150" t="inlineStr">
        <is>
          <t>✓</t>
        </is>
      </c>
      <c r="V70" s="150" t="inlineStr">
        <is>
          <t>✓</t>
        </is>
      </c>
      <c r="W70" s="149" t="n"/>
      <c r="X70" s="150" t="inlineStr">
        <is>
          <t>✓</t>
        </is>
      </c>
      <c r="Y70" s="149" t="n"/>
      <c r="Z70" s="149" t="n"/>
      <c r="AA70" s="149" t="n"/>
      <c r="AB70" s="149" t="n"/>
      <c r="AC70" s="149" t="n"/>
      <c r="AD70" s="150" t="inlineStr">
        <is>
          <t>✓</t>
        </is>
      </c>
      <c r="AE70" s="150" t="inlineStr">
        <is>
          <t>✓</t>
        </is>
      </c>
      <c r="AF70" s="149" t="n"/>
      <c r="AG70" s="149" t="n"/>
      <c r="AH70" s="149" t="n"/>
      <c r="AI70" s="149" t="n"/>
      <c r="AJ70" s="149" t="n"/>
      <c r="AK70" s="149" t="n"/>
      <c r="AL70" s="150" t="inlineStr">
        <is>
          <t>✓</t>
        </is>
      </c>
      <c r="AM70" s="149" t="n"/>
      <c r="AN70" s="149" t="n"/>
      <c r="AO70" s="149" t="n"/>
      <c r="AP70" s="149" t="n"/>
      <c r="AQ70" s="149" t="n"/>
      <c r="AR70" s="149" t="n"/>
      <c r="AS70" s="149" t="n"/>
      <c r="AT70" s="149" t="n"/>
      <c r="AU70" s="149" t="n"/>
      <c r="AV70" s="149" t="n"/>
      <c r="AW70" s="149" t="n"/>
      <c r="AX70" s="149" t="n"/>
      <c r="AY70" s="149" t="n"/>
      <c r="AZ70" s="149" t="n"/>
      <c r="BA70" s="149" t="n"/>
      <c r="BB70" s="149" t="n"/>
      <c r="BC70" s="149" t="n"/>
      <c r="BD70" s="149" t="n"/>
      <c r="BE70" s="149" t="n"/>
    </row>
    <row r="71" ht="30" customHeight="1">
      <c r="A71" s="25" t="inlineStr">
        <is>
          <t>SOC2-TSC</t>
        </is>
      </c>
      <c r="B71" s="27" t="inlineStr">
        <is>
          <t>สากล</t>
        </is>
      </c>
      <c r="C71" s="25" t="inlineStr">
        <is>
          <t>industry</t>
        </is>
      </c>
      <c r="D71" s="151" t="inlineStr">
        <is>
          <t>SOC 2 — Trust Services Criteria (AICPA)</t>
        </is>
      </c>
      <c r="E71" s="25" t="inlineStr">
        <is>
          <t>AICPA</t>
        </is>
      </c>
      <c r="F71" s="26" t="inlineStr">
        <is>
          <t>ใช้เมื่อผู้ว่าจ้างขอรายงานการตรวจสอบจากผู้สอบบัญชีภายนอก</t>
        </is>
      </c>
      <c r="G71" s="27" t="n">
        <v>6</v>
      </c>
      <c r="H71" s="150" t="inlineStr">
        <is>
          <t>✓</t>
        </is>
      </c>
      <c r="I71" s="149" t="n"/>
      <c r="J71" s="149" t="n"/>
      <c r="K71" s="149" t="n"/>
      <c r="L71" s="149" t="n"/>
      <c r="M71" s="149" t="n"/>
      <c r="N71" s="149" t="n"/>
      <c r="O71" s="149" t="n"/>
      <c r="P71" s="149" t="n"/>
      <c r="Q71" s="149" t="n"/>
      <c r="R71" s="149" t="n"/>
      <c r="S71" s="149" t="n"/>
      <c r="T71" s="149" t="n"/>
      <c r="U71" s="149" t="n"/>
      <c r="V71" s="149" t="n"/>
      <c r="W71" s="149" t="n"/>
      <c r="X71" s="149" t="n"/>
      <c r="Y71" s="149" t="n"/>
      <c r="Z71" s="149" t="n"/>
      <c r="AA71" s="149" t="n"/>
      <c r="AB71" s="149" t="n"/>
      <c r="AC71" s="149" t="n"/>
      <c r="AD71" s="149" t="n"/>
      <c r="AE71" s="149" t="n"/>
      <c r="AF71" s="149" t="n"/>
      <c r="AG71" s="149" t="n"/>
      <c r="AH71" s="149" t="n"/>
      <c r="AI71" s="150" t="inlineStr">
        <is>
          <t>✓</t>
        </is>
      </c>
      <c r="AJ71" s="149" t="n"/>
      <c r="AK71" s="149" t="n"/>
      <c r="AL71" s="149" t="n"/>
      <c r="AM71" s="150" t="inlineStr">
        <is>
          <t>✓</t>
        </is>
      </c>
      <c r="AN71" s="150" t="inlineStr">
        <is>
          <t>✓</t>
        </is>
      </c>
      <c r="AO71" s="149" t="n"/>
      <c r="AP71" s="149" t="n"/>
      <c r="AQ71" s="149" t="n"/>
      <c r="AR71" s="149" t="n"/>
      <c r="AS71" s="149" t="n"/>
      <c r="AT71" s="149" t="n"/>
      <c r="AU71" s="149" t="n"/>
      <c r="AV71" s="150" t="inlineStr">
        <is>
          <t>✓</t>
        </is>
      </c>
      <c r="AW71" s="149" t="n"/>
      <c r="AX71" s="150" t="inlineStr">
        <is>
          <t>✓</t>
        </is>
      </c>
      <c r="AY71" s="149" t="n"/>
      <c r="AZ71" s="149" t="n"/>
      <c r="BA71" s="149" t="n"/>
      <c r="BB71" s="149" t="n"/>
      <c r="BC71" s="149" t="n"/>
      <c r="BD71" s="149" t="n"/>
      <c r="BE71" s="149" t="n"/>
    </row>
    <row r="72" ht="30" customHeight="1">
      <c r="A72" s="25" t="inlineStr">
        <is>
          <t>CSA-CCM-4</t>
        </is>
      </c>
      <c r="B72" s="27" t="inlineStr">
        <is>
          <t>สากล</t>
        </is>
      </c>
      <c r="C72" s="25" t="inlineStr">
        <is>
          <t>industry</t>
        </is>
      </c>
      <c r="D72" s="151" t="inlineStr">
        <is>
          <t>CSA Cloud Controls Matrix v4 / CSA STAR</t>
        </is>
      </c>
      <c r="E72" s="25" t="inlineStr">
        <is>
          <t>Cloud Security Alliance</t>
        </is>
      </c>
      <c r="F72" s="26" t="inlineStr">
        <is>
          <t>ชุดควบคุมสำหรับคลาวด์ ใช้ประเมินผู้ให้บริการตามมาตรฐานคลาวด์ของไทย</t>
        </is>
      </c>
      <c r="G72" s="27" t="n">
        <v>5</v>
      </c>
      <c r="H72" s="149" t="n"/>
      <c r="I72" s="149" t="n"/>
      <c r="J72" s="149" t="n"/>
      <c r="K72" s="149" t="n"/>
      <c r="L72" s="149" t="n"/>
      <c r="M72" s="149" t="n"/>
      <c r="N72" s="149" t="n"/>
      <c r="O72" s="149" t="n"/>
      <c r="P72" s="149" t="n"/>
      <c r="Q72" s="149" t="n"/>
      <c r="R72" s="149" t="n"/>
      <c r="S72" s="149" t="n"/>
      <c r="T72" s="149" t="n"/>
      <c r="U72" s="149" t="n"/>
      <c r="V72" s="149" t="n"/>
      <c r="W72" s="150" t="inlineStr">
        <is>
          <t>✓</t>
        </is>
      </c>
      <c r="X72" s="149" t="n"/>
      <c r="Y72" s="149" t="n"/>
      <c r="Z72" s="149" t="n"/>
      <c r="AA72" s="149" t="n"/>
      <c r="AB72" s="149" t="n"/>
      <c r="AC72" s="149" t="n"/>
      <c r="AD72" s="149" t="n"/>
      <c r="AE72" s="149" t="n"/>
      <c r="AF72" s="150" t="inlineStr">
        <is>
          <t>✓</t>
        </is>
      </c>
      <c r="AG72" s="149" t="n"/>
      <c r="AH72" s="149" t="n"/>
      <c r="AI72" s="150" t="inlineStr">
        <is>
          <t>✓</t>
        </is>
      </c>
      <c r="AJ72" s="149" t="n"/>
      <c r="AK72" s="149" t="n"/>
      <c r="AL72" s="150" t="inlineStr">
        <is>
          <t>✓</t>
        </is>
      </c>
      <c r="AM72" s="149" t="n"/>
      <c r="AN72" s="149" t="n"/>
      <c r="AO72" s="149" t="n"/>
      <c r="AP72" s="149" t="n"/>
      <c r="AQ72" s="149" t="n"/>
      <c r="AR72" s="150" t="inlineStr">
        <is>
          <t>✓</t>
        </is>
      </c>
      <c r="AS72" s="149" t="n"/>
      <c r="AT72" s="149" t="n"/>
      <c r="AU72" s="149" t="n"/>
      <c r="AV72" s="149" t="n"/>
      <c r="AW72" s="149" t="n"/>
      <c r="AX72" s="149" t="n"/>
      <c r="AY72" s="149" t="n"/>
      <c r="AZ72" s="149" t="n"/>
      <c r="BA72" s="149" t="n"/>
      <c r="BB72" s="149" t="n"/>
      <c r="BC72" s="149" t="n"/>
      <c r="BD72" s="149" t="n"/>
      <c r="BE72" s="149" t="n"/>
    </row>
    <row r="74">
      <c r="A74" s="146" t="inlineStr">
        <is>
          <t>W3C (1 ฉบับ)</t>
        </is>
      </c>
      <c r="B74" s="147" t="n"/>
      <c r="C74" s="147" t="n"/>
      <c r="D74" s="147" t="n"/>
      <c r="E74" s="147" t="n"/>
      <c r="F74" s="147" t="n"/>
      <c r="G74" s="147" t="n"/>
      <c r="H74" s="147" t="n"/>
      <c r="I74" s="147" t="n"/>
      <c r="J74" s="147" t="n"/>
      <c r="K74" s="147" t="n"/>
      <c r="L74" s="147" t="n"/>
      <c r="M74" s="147" t="n"/>
      <c r="N74" s="147" t="n"/>
      <c r="O74" s="147" t="n"/>
      <c r="P74" s="147" t="n"/>
      <c r="Q74" s="147" t="n"/>
      <c r="R74" s="147" t="n"/>
      <c r="S74" s="147" t="n"/>
      <c r="T74" s="147" t="n"/>
      <c r="U74" s="147" t="n"/>
      <c r="V74" s="147" t="n"/>
      <c r="W74" s="147" t="n"/>
      <c r="X74" s="147" t="n"/>
      <c r="Y74" s="147" t="n"/>
      <c r="Z74" s="147" t="n"/>
      <c r="AA74" s="147" t="n"/>
      <c r="AB74" s="147" t="n"/>
      <c r="AC74" s="147" t="n"/>
      <c r="AD74" s="147" t="n"/>
      <c r="AE74" s="147" t="n"/>
      <c r="AF74" s="147" t="n"/>
      <c r="AG74" s="147" t="n"/>
      <c r="AH74" s="147" t="n"/>
      <c r="AI74" s="147" t="n"/>
      <c r="AJ74" s="147" t="n"/>
      <c r="AK74" s="147" t="n"/>
      <c r="AL74" s="147" t="n"/>
      <c r="AM74" s="147" t="n"/>
      <c r="AN74" s="147" t="n"/>
      <c r="AO74" s="147" t="n"/>
      <c r="AP74" s="147" t="n"/>
      <c r="AQ74" s="147" t="n"/>
      <c r="AR74" s="147" t="n"/>
      <c r="AS74" s="147" t="n"/>
      <c r="AT74" s="147" t="n"/>
      <c r="AU74" s="147" t="n"/>
      <c r="AV74" s="147" t="n"/>
      <c r="AW74" s="147" t="n"/>
      <c r="AX74" s="147" t="n"/>
      <c r="AY74" s="147" t="n"/>
      <c r="AZ74" s="147" t="n"/>
      <c r="BA74" s="147" t="n"/>
      <c r="BB74" s="147" t="n"/>
      <c r="BC74" s="147" t="n"/>
      <c r="BD74" s="147" t="n"/>
      <c r="BE74" s="147" t="n"/>
    </row>
    <row r="75" ht="30" customHeight="1">
      <c r="A75" s="25" t="inlineStr">
        <is>
          <t>WCAG-2-2</t>
        </is>
      </c>
      <c r="B75" s="27" t="inlineStr">
        <is>
          <t>สากล</t>
        </is>
      </c>
      <c r="C75" s="25" t="inlineStr">
        <is>
          <t>w3c</t>
        </is>
      </c>
      <c r="D75" s="151" t="inlineStr">
        <is>
          <t>WCAG 2.2 — Web Content Accessibility Guidelines ระดับ AA</t>
        </is>
      </c>
      <c r="E75" s="25" t="inlineStr">
        <is>
          <t>W3C</t>
        </is>
      </c>
      <c r="F75" s="26" t="inlineStr">
        <is>
          <t>เกณฑ์การเข้าถึงที่เท่าเทียม ถูกอ้างโดยมาตรฐานเว็บไซต์ภาครัฐไทย</t>
        </is>
      </c>
      <c r="G75" s="27" t="n">
        <v>1</v>
      </c>
      <c r="H75" s="149" t="n"/>
      <c r="I75" s="149" t="n"/>
      <c r="J75" s="149" t="n"/>
      <c r="K75" s="149" t="n"/>
      <c r="L75" s="149" t="n"/>
      <c r="M75" s="149" t="n"/>
      <c r="N75" s="149" t="n"/>
      <c r="O75" s="149" t="n"/>
      <c r="P75" s="149" t="n"/>
      <c r="Q75" s="149" t="n"/>
      <c r="R75" s="149" t="n"/>
      <c r="S75" s="149" t="n"/>
      <c r="T75" s="149" t="n"/>
      <c r="U75" s="149" t="n"/>
      <c r="V75" s="149" t="n"/>
      <c r="W75" s="149" t="n"/>
      <c r="X75" s="149" t="n"/>
      <c r="Y75" s="149" t="n"/>
      <c r="Z75" s="149" t="n"/>
      <c r="AA75" s="149" t="n"/>
      <c r="AB75" s="149" t="n"/>
      <c r="AC75" s="149" t="n"/>
      <c r="AD75" s="149" t="n"/>
      <c r="AE75" s="149" t="n"/>
      <c r="AF75" s="149" t="n"/>
      <c r="AG75" s="149" t="n"/>
      <c r="AH75" s="149" t="n"/>
      <c r="AI75" s="149" t="n"/>
      <c r="AJ75" s="149" t="n"/>
      <c r="AK75" s="149" t="n"/>
      <c r="AL75" s="149" t="n"/>
      <c r="AM75" s="149" t="n"/>
      <c r="AN75" s="149" t="n"/>
      <c r="AO75" s="149" t="n"/>
      <c r="AP75" s="149" t="n"/>
      <c r="AQ75" s="149" t="n"/>
      <c r="AR75" s="149" t="n"/>
      <c r="AS75" s="149" t="n"/>
      <c r="AT75" s="149" t="n"/>
      <c r="AU75" s="149" t="n"/>
      <c r="AV75" s="149" t="n"/>
      <c r="AW75" s="149" t="n"/>
      <c r="AX75" s="149" t="n"/>
      <c r="AY75" s="149" t="n"/>
      <c r="AZ75" s="149" t="n"/>
      <c r="BA75" s="149" t="n"/>
      <c r="BB75" s="150" t="inlineStr">
        <is>
          <t>✓</t>
        </is>
      </c>
      <c r="BC75" s="149" t="n"/>
      <c r="BD75" s="149" t="n"/>
      <c r="BE75" s="149" t="n"/>
    </row>
    <row r="78">
      <c r="A78" s="49" t="inlineStr">
        <is>
          <t>เครื่องหมาย ✓ = มาตรฐานฉบับนั้นอ้างมาตรการนั้น (วางเมาส์บนช่องเพื่อดูเลขข้อ) · รายละเอียดมาตรการดูที่ชีท 07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2026-08-11T07:58:01Z</dcterms:created>
  <dcterms:modified xmlns:dcterms="http://purl.org/dc/terms/" xmlns:xsi="http://www.w3.org/2001/XMLSchema-instance" xsi:type="dcterms:W3CDTF">2026-08-11T07:58:02Z</dcterms:modified>
</cp:coreProperties>
</file>