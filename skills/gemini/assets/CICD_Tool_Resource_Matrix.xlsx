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อ่านก่อน" sheetId="1" state="visible" r:id="rId3"/>
    <sheet name="01_Tool_Catalog" sheetId="2" state="visible" r:id="rId4"/>
    <sheet name="02_Freq_Weight" sheetId="3" state="visible" r:id="rId5"/>
    <sheet name="03_Colocation_Calc" sheetId="4" state="visible" r:id="rId6"/>
    <sheet name="04_VM_Sizing" sheetId="5" state="visible" r:id="rId7"/>
    <sheet name="05_Params" sheetId="6" state="visible" r:id="rId8"/>
    <sheet name="06_Storage_LongTerm" sheetId="7" state="visible" r:id="rId9"/>
    <sheet name="07_Compliance_Matrix" sheetId="8" state="visible" r:id="rId10"/>
    <sheet name="08_Tool_Capability" sheetId="9" state="visible" r:id="rId11"/>
    <sheet name="09_Profile_Comparison" sheetId="10" state="visible" r:id="rId12"/>
    <sheet name="10_Archetype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FreeSans"/>
            <family val="2"/>
          </rPr>
          <t xml:space="preserve">ไฟล์นี้สร้างจาก </t>
        </r>
        <r>
          <rPr>
            <sz val="10"/>
            <rFont val="Arial"/>
            <family val="2"/>
          </rPr>
          <t xml:space="preserve">scripts/build_xlsx.py </t>
        </r>
        <r>
          <rPr>
            <sz val="10"/>
            <rFont val="FreeSans"/>
            <family val="2"/>
          </rPr>
          <t xml:space="preserve">ใน </t>
        </r>
        <r>
          <rPr>
            <sz val="10"/>
            <rFont val="Arial"/>
            <family val="2"/>
          </rPr>
          <t xml:space="preserve">repo cicd-resource-planner </t>
        </r>
        <r>
          <rPr>
            <sz val="10"/>
            <rFont val="FreeSans"/>
            <family val="2"/>
          </rPr>
          <t xml:space="preserve">แก้ข้อมูลต้นทางที่ </t>
        </r>
        <r>
          <rPr>
            <sz val="10"/>
            <rFont val="Arial"/>
            <family val="2"/>
          </rPr>
          <t xml:space="preserve">scripts/catalog_data.py </t>
        </r>
        <r>
          <rPr>
            <sz val="10"/>
            <rFont val="FreeSans"/>
            <family val="2"/>
          </rPr>
          <t xml:space="preserve">แล้ว </t>
        </r>
        <r>
          <rPr>
            <sz val="10"/>
            <rFont val="Arial"/>
            <family val="2"/>
          </rPr>
          <t xml:space="preserve">build </t>
        </r>
        <r>
          <rPr>
            <sz val="10"/>
            <rFont val="FreeSans"/>
            <family val="2"/>
          </rPr>
          <t xml:space="preserve">ใหม่</t>
        </r>
      </text>
    </comment>
  </commentList>
</comments>
</file>

<file path=xl/sharedStrings.xml><?xml version="1.0" encoding="utf-8"?>
<sst xmlns="http://schemas.openxmlformats.org/spreadsheetml/2006/main" count="2162" uniqueCount="1073">
  <si>
    <t xml:space="preserve">CI/CD Resource &amp; Compliance Planner</t>
  </si>
  <si>
    <t xml:space="preserve">ตารางเครื่องมือ CI/CD ทุกประเภท + การคำนวณทรัพยากรกรณีเครื่องแชร์ + ผลลัพธ์ระยะยาว</t>
  </si>
  <si>
    <t xml:space="preserve">Schema 1.0.0 — ใช้เป็นแบบฟอร์มกลางสำหรับประเมินโครงการใด ๆ (ไม่มีข้อมูลเฉพาะโครงการอยู่ในไฟล์นี้)</t>
  </si>
  <si>
    <t xml:space="preserve">ชีทในไฟล์นี้</t>
  </si>
  <si>
    <t xml:space="preserve">05_Params</t>
  </si>
  <si>
    <t xml:space="preserve">พารามิเตอร์ทั้งหมดของโมเดล — เปลี่ยนโหมด strict/realistic, Scale Factor, OS Reserve, ช่วงเวลาประเมิน (ช่องสีเหลืองคือช่องที่แก้ได้)</t>
  </si>
  <si>
    <t xml:space="preserve">01_Tool_Catalog</t>
  </si>
  <si>
    <t xml:space="preserve">ตารางเครื่องมือ 53 รายการ ครบ 6 Stage พร้อม minimum vCPU/RAM/Disk, ที่มาของตัวเลข, มาตรฐานไทย/สากลที่แต่ละเครื่องมือช่วยตอบ, ทางเลือก Enterprise/OSS และข้อควรระวัง</t>
  </si>
  <si>
    <t xml:space="preserve">02_Freq_Weight</t>
  </si>
  <si>
    <t xml:space="preserve">ชั้นความถี่การรัน 7 ระดับ และการแปลงเป็นน้ำหนัก 50%-95%</t>
  </si>
  <si>
    <t xml:space="preserve">03_Colocation_Calc</t>
  </si>
  <si>
    <t xml:space="preserve">ตารางกำหนดว่าเครื่องมือใดติดตั้งบน VM ใด (ใส่ 1/0) — เป็นช่องกรอกหลัก</t>
  </si>
  <si>
    <t xml:space="preserve">04_VM_Sizing</t>
  </si>
  <si>
    <t xml:space="preserve">ผลการคำนวณต่อ VM: เงื่อนไข A / B1 / B2 / C, ค่าที่ต้องจัดสรร, และส่วนต่างกับ spec จริง</t>
  </si>
  <si>
    <t xml:space="preserve">06_Storage_LongTerm</t>
  </si>
  <si>
    <t xml:space="preserve">ผลลัพธ์ระยะยาวของพื้นที่จัดเก็บที่ 12 / 24 / 36 / 60 เดือน + สิ่งที่ต้องทำเพื่อคุมการโต</t>
  </si>
  <si>
    <t xml:space="preserve">07_Compliance_Matrix</t>
  </si>
  <si>
    <t xml:space="preserve">เมทริกซ์ compliance 35 ข้อกำหนด จาก 9 มาตรฐาน พร้อมสถานะผ่าน/ไม่ผ่านตามเครื่องมือที่เลือก</t>
  </si>
  <si>
    <t xml:space="preserve">08_Tool_Capability</t>
  </si>
  <si>
    <t xml:space="preserve">เมทริกซ์เครื่องมือ x capability (ฐานคำนวณของชีท 07)</t>
  </si>
  <si>
    <t xml:space="preserve">09_Profile_Comparison</t>
  </si>
  <si>
    <t xml:space="preserve">เปรียบเทียบประเภทโครงการ 5 แบบ</t>
  </si>
  <si>
    <t xml:space="preserve">10_Archetypes</t>
  </si>
  <si>
    <t xml:space="preserve">ผังเครื่องอ้างอิง 4 แบบ (2 / 4 / 6 เครื่อง และ AI/ML) พร้อมชุดเครื่องมือตามบทบาท — ใช้เป็นจุดตั้งต้นของโครงการใหม่</t>
  </si>
  <si>
    <t xml:space="preserve">วิธีใช้</t>
  </si>
  <si>
    <t xml:space="preserve">ขั้นที่ 1</t>
  </si>
  <si>
    <t xml:space="preserve">เปิดชีท 05_Params เลือกโหมดการคำนวณและ Scale Factor ให้ตรงกับขนาดงานจริง</t>
  </si>
  <si>
    <t xml:space="preserve">ขั้นที่ 2</t>
  </si>
  <si>
    <t xml:space="preserve">เลือกผังตั้งต้นจากชีท 10_Archetypes แล้วเปิดชีท 03_Colocation_Calc ใส่ 1 ในคอลัมน์ VM ที่จะติดตั้งเครื่องมือนั้น (VM01-06 ใส่ผังอ้างอิงภาครัฐ 6 เครื่องไว้ให้แล้ว, VM07-10 ว่างสำหรับกรณีอื่น)</t>
  </si>
  <si>
    <t xml:space="preserve">ขั้นที่ 3</t>
  </si>
  <si>
    <t xml:space="preserve">ดูผลที่ชีท 04_VM_Sizing — คอลัมน์ 'จัดสรร' คือค่า minimum ที่ต้องขอ และคอลัมน์ 'ผลประเมิน' บอกว่า spec ที่ขอไว้พอหรือไม่</t>
  </si>
  <si>
    <t xml:space="preserve">ขั้นที่ 4</t>
  </si>
  <si>
    <t xml:space="preserve">ตรวจ compliance ที่ชีท 07_Compliance_Matrix — ข้อที่ 'ไม่ผ่าน' คือ capability ที่ยังไม่มีเครื่องมือรองรับ</t>
  </si>
  <si>
    <t xml:space="preserve">ขั้นที่ 5</t>
  </si>
  <si>
    <t xml:space="preserve">วางแผนพื้นที่จัดเก็บระยะยาวจากชีท 06_Storage_LongTerm</t>
  </si>
  <si>
    <t xml:space="preserve">รหัสสีที่ใช้</t>
  </si>
  <si>
    <t xml:space="preserve">ตัวเลขสีน้ำเงิน + พื้นเหลือง</t>
  </si>
  <si>
    <t xml:space="preserve">ช่องที่ผู้ใช้กรอก/แก้ไขได้</t>
  </si>
  <si>
    <t xml:space="preserve">ตัวเลขสีเขียว</t>
  </si>
  <si>
    <t xml:space="preserve">สูตรที่อ้างอิงข้ามชีท</t>
  </si>
  <si>
    <t xml:space="preserve">ตัวเลขสีดำ</t>
  </si>
  <si>
    <t xml:space="preserve">สูตรคำนวณภายในชีทเดียวกัน</t>
  </si>
  <si>
    <t xml:space="preserve">พื้นเขียวอ่อน</t>
  </si>
  <si>
    <t xml:space="preserve">ผลลัพธ์สุดท้ายที่ต้องนำไปใช้ขอทรัพยากร</t>
  </si>
  <si>
    <t xml:space="preserve">พื้นสีตาม Stage</t>
  </si>
  <si>
    <t xml:space="preserve">ฟ้า=Stage 1, เหลือง=2, ส้ม=3, เขียว=4, ม่วง=5, พีช=6</t>
  </si>
  <si>
    <t xml:space="preserve">ข้อจำกัดที่ต้องรู้ก่อนใช้ตัวเลขนี้</t>
  </si>
  <si>
    <t xml:space="preserve">1</t>
  </si>
  <si>
    <t xml:space="preserve">ตัวเลข minimum เป็นค่าตั้งต้นจากเอกสารติดตั้งของผู้พัฒนาแต่ละเครื่องมือ รวมกับค่าที่พบจากการใช้งานจริงระดับ UAT/Production ขนาดเล็ก ไม่ใช่ผลวัดจากระบบของท่าน — ต้องวัด baseline จริง 2-4 สัปดาห์แล้วปรับ</t>
  </si>
  <si>
    <t xml:space="preserve">2</t>
  </si>
  <si>
    <t xml:space="preserve">โหมด strict (ตามโจทย์) จะได้ค่าสูงกว่าความเป็นจริงในเครื่องที่มีเครื่องมือ ephemeral จำนวนมาก เพราะบวกทุกตัวแม้ในความจริงจะรันเรียงต่อกัน — ใช้ยื่นขอทรัพยากรเพื่อความปลอดภัย และใช้โหมด realistic เพื่อดูค่าที่น่าจะเกิดขึ้นจริง</t>
  </si>
  <si>
    <t xml:space="preserve">3</t>
  </si>
  <si>
    <t xml:space="preserve">ปริมาณข้อมูลต่อวันอ่อนไหวต่อระดับ log และจำนวน build มาก — เปลี่ยน Scale Factor ให้ตรงกับปริมาณจริงก่อนอ่านผลชีท 06</t>
  </si>
  <si>
    <t xml:space="preserve">3.1</t>
  </si>
  <si>
    <t xml:space="preserve">คอลัมน์มาตรฐานในชีท 01 บอกว่าเครื่องมือ 'ช่วยตอบ' ข้อกำหนดใดได้ ไม่ได้รับประกันว่าตั้งค่าถูกต้อง — การผ่านมาตรฐานจริงยังต้องมีการตั้งค่า กระบวนการ และหลักฐานการตรวจสอบประกอบ</t>
  </si>
  <si>
    <t xml:space="preserve">4</t>
  </si>
  <si>
    <t xml:space="preserve">ตารางนี้ไม่ครอบคลุม network bandwidth, IOPS และ license cost ซึ่งต้องประเมินแยก</t>
  </si>
  <si>
    <t xml:space="preserve">5</t>
  </si>
  <si>
    <t xml:space="preserve">License ที่เป็น GPL/AGPL (MinIO, Grafana, Zabbix, FOSSology, Wazuh, testssl.sh) ขัดกับข้อห้ามของโครงการภาครัฐบางแห่ง — ต้องตรวจเงื่อนไขการใช้งานก่อน</t>
  </si>
  <si>
    <t xml:space="preserve">01 — ตารางเครื่องมือ CI/CD ทุกประเภท + Resource Requirements (Minimum)</t>
  </si>
  <si>
    <t xml:space="preserve">53 เครื่องมือ ครบ 6 Stage ตาม CI/CD Service Blueprint V0.2</t>
  </si>
  <si>
    <t xml:space="preserve">tool_id</t>
  </si>
  <si>
    <t xml:space="preserve">เครื่องมือ</t>
  </si>
  <si>
    <t xml:space="preserve">Stage</t>
  </si>
  <si>
    <t xml:space="preserve">หมวด (ขั้นตอนย่อย)</t>
  </si>
  <si>
    <t xml:space="preserve">Core/Opt</t>
  </si>
  <si>
    <t xml:space="preserve">Grade</t>
  </si>
  <si>
    <t xml:space="preserve">License</t>
  </si>
  <si>
    <t xml:space="preserve">min vCPU</t>
  </si>
  <si>
    <t xml:space="preserve">min RAM (GB)</t>
  </si>
  <si>
    <t xml:space="preserve">min Disk OS (GB)</t>
  </si>
  <si>
    <t xml:space="preserve">rec vCPU</t>
  </si>
  <si>
    <t xml:space="preserve">rec RAM (GB)</t>
  </si>
  <si>
    <t xml:space="preserve">rec Disk OS (GB)</t>
  </si>
  <si>
    <t xml:space="preserve">Resident 24/7</t>
  </si>
  <si>
    <t xml:space="preserve">Idle RAM (GB)</t>
  </si>
  <si>
    <t xml:space="preserve">Conc Group</t>
  </si>
  <si>
    <t xml:space="preserve">freq_id</t>
  </si>
  <si>
    <t xml:space="preserve">น้ำหนัก w</t>
  </si>
  <si>
    <t xml:space="preserve">Data GB/วัน</t>
  </si>
  <si>
    <t xml:space="preserve">Retention (วัน)</t>
  </si>
  <si>
    <t xml:space="preserve">Index OH</t>
  </si>
  <si>
    <t xml:space="preserve">Growth/ปี</t>
  </si>
  <si>
    <t xml:space="preserve">Capabilities ที่ตอบได้</t>
  </si>
  <si>
    <t xml:space="preserve">มาตรฐานไทยที่ช่วยตอบ</t>
  </si>
  <si>
    <t xml:space="preserve">มาตรฐานสากลที่ช่วยตอบ</t>
  </si>
  <si>
    <t xml:space="preserve">ข้อกำหนดที่ตอบได้ครบด้วยตัวเอง</t>
  </si>
  <si>
    <t xml:space="preserve">ข้อกำหนดที่ช่วยตอบบางส่วน</t>
  </si>
  <si>
    <t xml:space="preserve">จำนวน
ข้อกำหนด</t>
  </si>
  <si>
    <t xml:space="preserve">ทางเลือก Enterprise-Grade</t>
  </si>
  <si>
    <t xml:space="preserve">ทางเลือก Open Source อื่น</t>
  </si>
  <si>
    <t xml:space="preserve">ที่มาของตัวเลข Minimum (Sizing Reference)</t>
  </si>
  <si>
    <t xml:space="preserve">ข้อสังเกต / ข้อควรระวังในการวางเครื่อง</t>
  </si>
  <si>
    <t xml:space="preserve">gitlab-ce</t>
  </si>
  <si>
    <t xml:space="preserve">GitLab Community Edition (Self-hosted Git)</t>
  </si>
  <si>
    <t xml:space="preserve">Git Repository</t>
  </si>
  <si>
    <t xml:space="preserve">Core</t>
  </si>
  <si>
    <t xml:space="preserve">oss</t>
  </si>
  <si>
    <t xml:space="preserve">MIT</t>
  </si>
  <si>
    <t xml:space="preserve">resident</t>
  </si>
  <si>
    <t xml:space="preserve">git_scm, webhook, branch_protection, pipeline, audit_trail</t>
  </si>
  <si>
    <t xml:space="preserve">พ.ร.บ.ไซเบอร์ 2562; มาตรฐานขั้นต่ำ 2566; มาตรฐานเว็บไซต์ 2568</t>
  </si>
  <si>
    <t xml:space="preserve">ISO/IEC 27001; NIST SSDF / 800-161 / 800-207 / 800-63B; OWASP Top 10:2025</t>
  </si>
  <si>
    <t xml:space="preserve">-</t>
  </si>
  <si>
    <t xml:space="preserve">CORE-R1, CORE-R2, CYBER2562-R1, MIN2566-R1, MIN2566-R2, MIN2566-R4, OWASP-A09, WEB2568-R4</t>
  </si>
  <si>
    <t xml:space="preserve">GitLab Enterprise Edition; GitHub Enterprise Server; Bitbucket Data Center; Azure DevOps Server</t>
  </si>
  <si>
    <t xml:space="preserve">Gitea; Forgejo; Gogs; Onedev</t>
  </si>
  <si>
    <t xml:space="preserve">GitLab docs: 4 vCPU / 4 GB (แนะนำ 8 GB) รองรับได้ถึง ~500 users; Puma+Sidekiq+Gitaly+PostgreSQL+Redis รวมในเครื่องเดียว</t>
  </si>
  <si>
    <t xml:space="preserve">ทางเลือกหลักของภาครัฐที่ต้องการ Git แบบ On-premise เต็มรูปแบบ กินทรัพยากรมากเพราะรวมหลาย service; ถ้าต้องการเบาให้ใช้ Gitea</t>
  </si>
  <si>
    <t xml:space="preserve">gitea</t>
  </si>
  <si>
    <t xml:space="preserve">Gitea / Forgejo (Lightweight Git)</t>
  </si>
  <si>
    <t xml:space="preserve">git_scm, webhook, branch_protection, audit_trail</t>
  </si>
  <si>
    <t xml:space="preserve">GitLab Enterprise Edition; GitHub Enterprise Server; Bitbucket Data Center</t>
  </si>
  <si>
    <t xml:space="preserve">Gitea docs: 2 CPU cores / 1 GB RAM เพียงพอสำหรับทีมขนาดเล็ก-กลาง; binary เดียว + SQLite/PostgreSQL</t>
  </si>
  <si>
    <t xml:space="preserve">ตัวเลือกเบาสำหรับเครื่องที่ต้องแชร์กับเครื่องมืออื่น กินแค่ ~300-500 MB RAM ตอน idle</t>
  </si>
  <si>
    <t xml:space="preserve">github-actions-runner</t>
  </si>
  <si>
    <t xml:space="preserve">GitHub Actions Self-hosted Runner</t>
  </si>
  <si>
    <t xml:space="preserve">Pipeline Orchestration</t>
  </si>
  <si>
    <t xml:space="preserve">ci_seq</t>
  </si>
  <si>
    <t xml:space="preserve">per_commit</t>
  </si>
  <si>
    <t xml:space="preserve">pipeline, webhook, build</t>
  </si>
  <si>
    <t xml:space="preserve">NIST SSDF / 800-161 / 800-207 / 800-63B</t>
  </si>
  <si>
    <t xml:space="preserve">CORE-R2</t>
  </si>
  <si>
    <t xml:space="preserve">GitHub Actions Enterprise; GitHub Enterprise Server</t>
  </si>
  <si>
    <t xml:space="preserve">GitHub-hosted standard runner = 2 vCPU / 7 GB / 14 GB SSD — ใช้เป็นเกณฑ์เทียบขั้นต่ำของ self-hosted runner</t>
  </si>
  <si>
    <t xml:space="preserve">รูปแบบที่ประหยัดที่สุดคือให้ Runner ของผู้ให้บริการ Git ทำงานเบา (Lint / Unit Test) แล้วส่ง Webhook เข้า Orchestrator ในองค์กร จึงไม่ต้องใช้ VM ของหน่วยงานในขั้นนี้; ถ้าอยู่หลัง Proxy ต้อง whitelist โดเมนของผู้ให้บริการ (เช่น *.github.com, *.ghcr.io, *.githubusercontent.com)</t>
  </si>
  <si>
    <t xml:space="preserve">jenkins-master</t>
  </si>
  <si>
    <t xml:space="preserve">Jenkins Master / Controller</t>
  </si>
  <si>
    <t xml:space="preserve">pipeline, webhook, quality_gate, audit_trail, notify</t>
  </si>
  <si>
    <t xml:space="preserve">พ.ร.บ.ไซเบอร์ 2562; มาตรฐานขั้นต่ำ 2566; PDPA 2562; มาตรฐานเว็บไซต์ 2568</t>
  </si>
  <si>
    <t xml:space="preserve">CORE-R1, CORE-R2, CYBER2562-R1, CYBER2562-R2, MIN2566-R1, MIN2566-R2, MIN2566-R4, OWASP-A06, OWASP-A09, PDPA-R2, WEB2568-R4</t>
  </si>
  <si>
    <t xml:space="preserve">CloudBees CI; Jenkins Enterprise; Azure DevOps Server; GitLab Ultimate Self-Managed</t>
  </si>
  <si>
    <t xml:space="preserve">Argo Workflows; Tekton Pipelines; Woodpecker CI; Drone CI; Concourse CI</t>
  </si>
  <si>
    <t xml:space="preserve">Jenkins docs: absolute min 256 MB RAM / 1 GB disk; 'small team' 1 GB+ RAM / 50 GB disk — ภาครัฐที่ลง plugin RBAC/Audit/Pipeline ควรเริ่ม 2 vCPU / 4 GB (JVM heap 2 GB)</t>
  </si>
  <si>
    <t xml:space="preserve">ห้ามรัน Build บน Master (Controller) — ให้สั่ง Agent เท่านั้น เพื่อกัน Master ล่มและกันช่องโหว่ Script Approval</t>
  </si>
  <si>
    <t xml:space="preserve">jenkins-agent</t>
  </si>
  <si>
    <t xml:space="preserve">Jenkins Agent / Build Executor (ต่อ 1 Executor)</t>
  </si>
  <si>
    <t xml:space="preserve">pipeline, build, unit_test</t>
  </si>
  <si>
    <t xml:space="preserve">ISO/IEC 27001; NIST SSDF / 800-161 / 800-207 / 800-63B</t>
  </si>
  <si>
    <t xml:space="preserve">CORE-R2, CORE-R3</t>
  </si>
  <si>
    <t xml:space="preserve">CloudBees CI Agent; Azure Pipelines Agent</t>
  </si>
  <si>
    <t xml:space="preserve">1 Executor = 1 build พร้อมกัน; ประสบการณ์ทั่วไป 1 vCPU + 2 GB ต่อ executor เป็นขั้นต่ำ, 2 vCPU + 4 GB เมื่อ build Java/Node ที่มี dependency มาก</t>
  </si>
  <si>
    <t xml:space="preserve">จำนวน Executor = จำนวน build ที่รันขนานได้ ให้คำนวณ vCPU/RAM แบบคูณจำนวน executor; Workspace ควรมี disk 60-200 GB และตั้ง cleanup ทุกรอบ</t>
  </si>
  <si>
    <t xml:space="preserve">argo-workflows</t>
  </si>
  <si>
    <t xml:space="preserve">Argo Workflows (CNCF Graduated)</t>
  </si>
  <si>
    <t xml:space="preserve">Apache-2.0</t>
  </si>
  <si>
    <t xml:space="preserve">pipeline, webhook, audit_trail</t>
  </si>
  <si>
    <t xml:space="preserve">NIST SSDF / 800-161 / 800-207 / 800-63B; OWASP Top 10:2025</t>
  </si>
  <si>
    <t xml:space="preserve">CORE-R2, CYBER2562-R1, MIN2566-R1, MIN2566-R2, MIN2566-R4, OWASP-A09, WEB2568-R4</t>
  </si>
  <si>
    <t xml:space="preserve">Azure DevOps; CloudBees CI; Harness</t>
  </si>
  <si>
    <t xml:space="preserve">Argo Workflows controller ทั่วไปตั้ง request 100m CPU / 128Mi และ limit ~500m / 1Gi; ต้องมี Kubernetes อยู่แล้ว</t>
  </si>
  <si>
    <t xml:space="preserve">เหมาะเมื่อมี Kubernetes แล้ว — เบากว่า Jenkins มาก แต่ต้องนับ resource ของ K8s control plane เพิ่ม</t>
  </si>
  <si>
    <t xml:space="preserve">opa-conftest</t>
  </si>
  <si>
    <t xml:space="preserve">Open Policy Agent / Conftest (Policy-as-Code Gate)</t>
  </si>
  <si>
    <t xml:space="preserve">Branch Protection</t>
  </si>
  <si>
    <t xml:space="preserve">Optional</t>
  </si>
  <si>
    <t xml:space="preserve">per_pr</t>
  </si>
  <si>
    <t xml:space="preserve">branch_protection, iac_scan, quality_gate</t>
  </si>
  <si>
    <t xml:space="preserve">มาตรฐานคลาวด์ 2567</t>
  </si>
  <si>
    <t xml:space="preserve">ISO/IEC 27001; OWASP Top 10:2025</t>
  </si>
  <si>
    <t xml:space="preserve">CLOUD2567-R1, CORE-R1, OWASP-A02, OWASP-A06</t>
  </si>
  <si>
    <t xml:space="preserve">GitHub Enterprise Branch Protection; GitLab Premium Protected Branches; Azure Branch Policies</t>
  </si>
  <si>
    <t xml:space="preserve">OPA binary เดียว ใช้ RAM หลักสิบ MB ตอนประเมิน policy; ค่าขั้นต่ำ 1 vCPU / 1 GB คือการกันที่ให้ container</t>
  </si>
  <si>
    <t xml:space="preserve">ใช้บังคับกฎ 'ต้องมี 2 Approvers' และตรวจ Terraform/K8s YAML ก่อน Merge ตาม CORE-R1</t>
  </si>
  <si>
    <t xml:space="preserve">nginx-gateway</t>
  </si>
  <si>
    <t xml:space="preserve">Nginx (Reverse Proxy / Webhook Relay)</t>
  </si>
  <si>
    <t xml:space="preserve">Webhook Trigger</t>
  </si>
  <si>
    <t xml:space="preserve">BSD-2</t>
  </si>
  <si>
    <t xml:space="preserve">webhook, tls_check</t>
  </si>
  <si>
    <t xml:space="preserve">มสพร. 11-2566 เว็บไซต์ภาครัฐ 3.0; PDPA 2562; มาตรฐานเว็บไซต์ 2568</t>
  </si>
  <si>
    <t xml:space="preserve">MSPR11-R2</t>
  </si>
  <si>
    <t xml:space="preserve">CORE-R2, OWASP-A04, OWASP-PQC, PDPA-R1, WEB2568-R1</t>
  </si>
  <si>
    <t xml:space="preserve">F5 BIG-IP; Azure Application Gateway; AWS ALB</t>
  </si>
  <si>
    <t xml:space="preserve">Nginx worker กิน RAM หลักสิบ MB ต่อ worker; 1 vCPU / 1 GB รองรับหลักพัน req/s ของ webhook ได้</t>
  </si>
  <si>
    <t xml:space="preserve">โดยทั่วไปวาง Reverse Proxy แยกเครื่อง (2 vCPU / 4 GB เพียงพอสำหรับ traffic ระดับหน่วยงาน); บนเครื่อง CI ใช้เพียง relay webhook ผ่าน Proxy Whitelist จึงกินทรัพยากรน้อยมาก</t>
  </si>
  <si>
    <t xml:space="preserve">sonarqube</t>
  </si>
  <si>
    <t xml:space="preserve">SonarQube Community Edition</t>
  </si>
  <si>
    <t xml:space="preserve">SAST + Code Quality</t>
  </si>
  <si>
    <t xml:space="preserve">LGPL-3.0</t>
  </si>
  <si>
    <t xml:space="preserve">sast, code_quality, quality_gate</t>
  </si>
  <si>
    <t xml:space="preserve">พ.ร.บ.ไซเบอร์ 2562; มาตรฐานเว็บไซต์ 2568</t>
  </si>
  <si>
    <t xml:space="preserve">OWASP-A06, OWASP-A10</t>
  </si>
  <si>
    <t xml:space="preserve">CORE-R1, CORE-R3, CYBER2562-R1, OWASP-A01, OWASP-A05, WEB2568-R3</t>
  </si>
  <si>
    <t xml:space="preserve">SonarQube Enterprise; Checkmarx SAST; Fortify SCA; Veracode Static Analysis</t>
  </si>
  <si>
    <t xml:space="preserve">Semgrep; SpotBugs; Bandit; gosec; Brakeman; ESLint Security</t>
  </si>
  <si>
    <t xml:space="preserve">SonarQube docs: ขั้นต่ำ 2 GB RAM ว่างสำหรับ server + 1 GB สำหรับ OS; ตัว server รัน 3 process (Web + Compute Engine + Elasticsearch) จึงควรมี 4 GB ขึ้นไป และตั้ง vm.max_map_count=524288</t>
  </si>
  <si>
    <t xml:space="preserve">เป็นหัวใจของ Quality Gate; ต้องมี PostgreSQL แยก (ห้ามใช้ embedded H2 ใน production) และมี Embedded Elasticsearch อยู่ในตัว ทำให้ RAM เป็นค่าคงค้างตลอดเวลา ไม่ใช่ค่าชั่วคราว — เป็นเหตุผลหลักที่เครื่อง Orchestrator มักต้องการ RAM มากกว่าที่ประเมินไว้ตอนแรก</t>
  </si>
  <si>
    <t xml:space="preserve">postgresql-tools</t>
  </si>
  <si>
    <t xml:space="preserve">PostgreSQL (ฐานข้อมูลของเครื่องมือ CI/CD)</t>
  </si>
  <si>
    <t xml:space="preserve">Supporting Database</t>
  </si>
  <si>
    <t xml:space="preserve">PostgreSQL License</t>
  </si>
  <si>
    <t xml:space="preserve">audit_trail</t>
  </si>
  <si>
    <t xml:space="preserve">Azure Database for PostgreSQL; AWS RDS; Oracle Database</t>
  </si>
  <si>
    <t xml:space="preserve">PostgreSQL ทำงานได้ที่ 1 GB แต่ shared_buffers 25% ของ RAM + work_mem ต่อ connection ทำให้ 4 GB เป็นค่าที่ปลอดภัยเมื่อรองรับ SonarQube + Jenkins</t>
  </si>
  <si>
    <t xml:space="preserve">SonarQube ต้องมี PostgreSQL แยก (ห้ามใช้ embedded H2 ใน production); ถ้าเก็บ Audit Trail 7 ปีตามภาครัฐ ต้องวางแผน partition + archive</t>
  </si>
  <si>
    <t xml:space="preserve">semgrep</t>
  </si>
  <si>
    <t xml:space="preserve">Semgrep (SAST แบบ Rule-based)</t>
  </si>
  <si>
    <t xml:space="preserve">SAST</t>
  </si>
  <si>
    <t xml:space="preserve">LGPL-2.1</t>
  </si>
  <si>
    <t xml:space="preserve">sast</t>
  </si>
  <si>
    <t xml:space="preserve">OWASP Top 10:2025</t>
  </si>
  <si>
    <t xml:space="preserve">CYBER2562-R1, OWASP-A01, OWASP-A05, OWASP-A10, WEB2568-R3</t>
  </si>
  <si>
    <t xml:space="preserve">Semgrep Enterprise; Checkmarx SAST; Fortify SCA; CodeQL (GitHub Advanced Security)</t>
  </si>
  <si>
    <t xml:space="preserve">Semgrep แนะนำ ~4 GB RAM สำหรับ repo ขนาดกลาง; RAM ขึ้นกับขนาดไฟล์ที่ใหญ่สุด ไม่ใช่จำนวนไฟล์</t>
  </si>
  <si>
    <t xml:space="preserve">เร็วกว่า SonarQube หลายเท่า เหมาะรันทุก commit เป็น Fast Gate แล้วปล่อย SonarQube รันรอบ nightly</t>
  </si>
  <si>
    <t xml:space="preserve">gitleaks</t>
  </si>
  <si>
    <t xml:space="preserve">GitLeaks / TruffleHog (Secret Scanning)</t>
  </si>
  <si>
    <t xml:space="preserve">Secret Scanning</t>
  </si>
  <si>
    <t xml:space="preserve">secret_scan</t>
  </si>
  <si>
    <t xml:space="preserve">PDPA 2562</t>
  </si>
  <si>
    <t xml:space="preserve">PDPA-R3</t>
  </si>
  <si>
    <t xml:space="preserve">GitHub Advanced Security Secret Scanning; GitLab Ultimate Secret Detection; HashiCorp Vault Radar</t>
  </si>
  <si>
    <t xml:space="preserve">GitLeaks เป็น Go binary สแกน git history ด้วย regex/entropy; RAM ~200-500 MB ต่อ repo ขนาดกลาง</t>
  </si>
  <si>
    <t xml:space="preserve">ต้องตั้งเป็น Blocking Gate (พบ = หยุด Pipeline) ตาม PDPA-R3; ควรติดตั้ง pre-commit hook ที่ฝั่ง Developer ด้วย</t>
  </si>
  <si>
    <t xml:space="preserve">dependency-check</t>
  </si>
  <si>
    <t xml:space="preserve">OWASP Dependency-Check (SCA)</t>
  </si>
  <si>
    <t xml:space="preserve">Software Composition Analysis</t>
  </si>
  <si>
    <t xml:space="preserve">async</t>
  </si>
  <si>
    <t xml:space="preserve">nightly</t>
  </si>
  <si>
    <t xml:space="preserve">sca, sbom</t>
  </si>
  <si>
    <t xml:space="preserve">มาตรฐานขั้นต่ำ 2566</t>
  </si>
  <si>
    <t xml:space="preserve">MIN2566-R3, OWASP-A03, OWASP-A08</t>
  </si>
  <si>
    <t xml:space="preserve">Snyk Enterprise; BlackDuck (Synopsys); JFrog Xray; Sonatype Nexus Lifecycle; Mend (WhiteSource)</t>
  </si>
  <si>
    <t xml:space="preserve">Trivy; Grype (Anchore); Dependency-Track; OSV-Scanner</t>
  </si>
  <si>
    <t xml:space="preserve">Dependency-Check ต้องดาวน์โหลดและ cache NVD CVE Database (~2-8 GB) และแนะนำ JVM heap 4 GB; รอบแรกใช้เวลา 20-60 นาที</t>
  </si>
  <si>
    <t xml:space="preserve">ควรย้ายไปรันรอบ nightly เพราะช้า และตั้ง NVD_API_KEY + local mirror เพื่อรองรับ Air-gapped ตามภาครัฐ</t>
  </si>
  <si>
    <t xml:space="preserve">trivy</t>
  </si>
  <si>
    <t xml:space="preserve">Trivy (SCA + Container + IaC + Secret ในตัวเดียว)</t>
  </si>
  <si>
    <t xml:space="preserve">Multi-purpose Scanner</t>
  </si>
  <si>
    <t xml:space="preserve">per_build</t>
  </si>
  <si>
    <t xml:space="preserve">sca, container_scan, iac_scan, secret_scan, sbom</t>
  </si>
  <si>
    <t xml:space="preserve">มาตรฐานคลาวด์ 2567; มาตรฐานขั้นต่ำ 2566; PDPA 2562</t>
  </si>
  <si>
    <t xml:space="preserve">CLOUD2567-R1, MIN2566-R3, OWASP-A02, OWASP-A03, OWASP-A08, PDPA-R3</t>
  </si>
  <si>
    <t xml:space="preserve">Aqua Container Security; Prisma Cloud (Twistlock); Snyk Container; JFrog Xray</t>
  </si>
  <si>
    <t xml:space="preserve">Trivy เป็น Go binary; vulnerability DB cache ~1-3 GB, Java DB เพิ่มอีก ~1-2 GB; RAM ปกติ &lt; 1 GB แต่ image ใหญ่อาจถึง 2 GB</t>
  </si>
  <si>
    <t xml:space="preserve">คุ้มค่าที่สุดต่อ resource เพราะทำได้ 5 หน้าที่ในตัวเดียว ลดจำนวนเครื่องมือที่ต้องแชร์เครื่อง — แนะนำเป็นตัวหลักเมื่อ VM จำกัด</t>
  </si>
  <si>
    <t xml:space="preserve">fossology</t>
  </si>
  <si>
    <t xml:space="preserve">FOSSology / ScanCode (License Compliance)</t>
  </si>
  <si>
    <t xml:space="preserve">License Compliance</t>
  </si>
  <si>
    <t xml:space="preserve">GPL-2.0</t>
  </si>
  <si>
    <t xml:space="preserve">weekly</t>
  </si>
  <si>
    <t xml:space="preserve">license</t>
  </si>
  <si>
    <t xml:space="preserve">BlackDuck License Compliance; FOSSA Enterprise; Mend (WhiteSource); Snyk License</t>
  </si>
  <si>
    <t xml:space="preserve">ScanCode Toolkit; License Finder; Licensee; REUSE</t>
  </si>
  <si>
    <t xml:space="preserve">FOSSology เป็น web app + PostgreSQL + scheduler; เอกสารแนะนำ 4 GB RAM ขึ้นไป และ CPU มากขึ้นตามจำนวน agent ที่รันขนาน</t>
  </si>
  <si>
    <t xml:space="preserve">ภาครัฐบังคับ 'ห้ามใช้ GPL/AGPL' — ควรรัน ScanCode Toolkit (เบากว่า, ephemeral) ทุก build และเก็บ FOSSology ไว้ทำ audit รายสัปดาห์แทน</t>
  </si>
  <si>
    <t xml:space="preserve">linters</t>
  </si>
  <si>
    <t xml:space="preserve">Linters (ESLint / Pylint / golangci-lint / RuboCop)</t>
  </si>
  <si>
    <t xml:space="preserve">Code Quality</t>
  </si>
  <si>
    <t xml:space="preserve">code_quality</t>
  </si>
  <si>
    <t xml:space="preserve">CORE-R3, OWASP-A06, OWASP-A10</t>
  </si>
  <si>
    <t xml:space="preserve">SonarQube Enterprise; CodeClimate Enterprise; Codacy Enterprise</t>
  </si>
  <si>
    <t xml:space="preserve">Linter ทำงานใน process เดียว ใช้ RAM 200 MB - 1 GB ตามขนาด codebase; golangci-lint อาจถึง 2 GB บน monorepo</t>
  </si>
  <si>
    <t xml:space="preserve">ควรรันบน Runner ของผู้ให้บริการ Git ก่อนส่ง Webhook เข้า Orchestrator ในองค์กร เพื่อไม่กินทรัพยากร VM ที่หน่วยงานต้องจัดหาเอง</t>
  </si>
  <si>
    <t xml:space="preserve">maven-gradle</t>
  </si>
  <si>
    <t xml:space="preserve">Maven / Gradle / npm / pip (Build &amp; Compilation)</t>
  </si>
  <si>
    <t xml:space="preserve">Build &amp; Compilation</t>
  </si>
  <si>
    <t xml:space="preserve">build</t>
  </si>
  <si>
    <t xml:space="preserve">JFrog Artifactory (with Maven/Gradle); Azure DevOps Build; AWS CodeBuild; CloudBees Build</t>
  </si>
  <si>
    <t xml:space="preserve">Gradle daemon ตั้ง heap 1-2 GB โดยปริยาย; Maven fork JVM ต่อ module; local cache ~/.m2 หรือ ~/.gradle โต 5-20 GB และ node_modules 1-3 GB ต่อโปรเจกต์</t>
  </si>
  <si>
    <t xml:space="preserve">อย่าลืมกัน disk ให้ dependency cache — เป็นสาเหตุ 'disk full' อันดับ 1 บนเครื่อง Agent; ควรตั้ง cache cleanup รายสัปดาห์</t>
  </si>
  <si>
    <t xml:space="preserve">docker-buildkit</t>
  </si>
  <si>
    <t xml:space="preserve">Docker Engine / BuildKit (Container Image Builder)</t>
  </si>
  <si>
    <t xml:space="preserve">Container Image Builder</t>
  </si>
  <si>
    <t xml:space="preserve">image_build, build</t>
  </si>
  <si>
    <t xml:space="preserve">Google Cloud Build; Azure Container Registry Build; Red Hat Quay Build; AWS CodeBuild</t>
  </si>
  <si>
    <t xml:space="preserve">Kaniko; Buildah; Podman; Cloud Native Buildpacks; img; ko</t>
  </si>
  <si>
    <t xml:space="preserve">Docker daemon idle ~200-400 MB; multi-stage build ของ Java/Node ใช้ 2-4 GB ตอน compile layer; image layer cache เป็นตัวกิน disk หลัก</t>
  </si>
  <si>
    <t xml:space="preserve">จุดเสี่ยงหลักคือ Disk ไม่ใช่ RAM — layer cache + dangling image โต 2-5 GB/วัน ต้องตั้ง `docker system prune` เป็น cron; ถ้าต้องการ Rootless Build ตามข้อกำหนดภาครัฐให้ใช้ Kaniko/Buildah แทน</t>
  </si>
  <si>
    <t xml:space="preserve">checkov</t>
  </si>
  <si>
    <t xml:space="preserve">Checkov / tfsec / KubeLinter (IaC Validation)</t>
  </si>
  <si>
    <t xml:space="preserve">IaC Validation</t>
  </si>
  <si>
    <t xml:space="preserve">iac_scan</t>
  </si>
  <si>
    <t xml:space="preserve">CLOUD2567-R1, OWASP-A02</t>
  </si>
  <si>
    <t xml:space="preserve">Prisma Cloud IaC Scanning; Snyk IaC Enterprise; Bridgecrew</t>
  </si>
  <si>
    <t xml:space="preserve">Checkov เป็น Python CLI ใช้ RAM 300 MB - 1.5 GB ตามจำนวนไฟล์ Terraform/K8s; ephemeral ทั้งหมด</t>
  </si>
  <si>
    <t xml:space="preserve">ภาครัฐกำหนดเป็น Mandatory (ตาม OWASP A02 + CLOUD2567-R1) — ตรวจ Security Group เปิดกว้าง, ไม่มี Resource Limits, ไม่ได้เข้ารหัส Volume</t>
  </si>
  <si>
    <t xml:space="preserve">cosign</t>
  </si>
  <si>
    <t xml:space="preserve">Sigstore Cosign / Notary v2 (Artifact Signing)</t>
  </si>
  <si>
    <t xml:space="preserve">Artifact Signing</t>
  </si>
  <si>
    <t xml:space="preserve">artifact_sign</t>
  </si>
  <si>
    <t xml:space="preserve">OWASP-A03, OWASP-A08</t>
  </si>
  <si>
    <t xml:space="preserve">Azure Code Signing; AWS Signer; Venafi CodeSign Protect; Google Binary Authorization</t>
  </si>
  <si>
    <t xml:space="preserve">Cosign เป็น Go binary ใช้ RAM &lt; 300 MB; ต้องมีที่เก็บ key อย่างปลอดภัย (KMS/Vault) และ Rekor transparency log ถ้าต้องการ</t>
  </si>
  <si>
    <t xml:space="preserve">ภาครัฐกำหนด Mandatory ตาม OWASP A08 + NIST SSDF — ต้อง Verify signature ก่อน Pull มา Deploy ทุกครั้ง ไม่ใช่แค่ Sign</t>
  </si>
  <si>
    <t xml:space="preserve">syft</t>
  </si>
  <si>
    <t xml:space="preserve">Syft / CycloneDX CLI (SBOM Generation)</t>
  </si>
  <si>
    <t xml:space="preserve">SBOM</t>
  </si>
  <si>
    <t xml:space="preserve">sbom</t>
  </si>
  <si>
    <t xml:space="preserve">JFrog Xray SBOM; Snyk SBOM; BlackDuck SBOM; Google Cloud SBOM</t>
  </si>
  <si>
    <t xml:space="preserve">Syft สแกน image layer สร้าง SBOM; RAM ~500 MB - 2 GB ตามขนาด image; ไฟล์ SBOM 1-10 MB ต่อ artifact</t>
  </si>
  <si>
    <t xml:space="preserve">ภาครัฐกำหนด Mandatory ตาม OWASP A03 + NIST SP 800-161; SBOM ต้องเก็บคู่กับ artifact และเก็บนานเท่ากับอายุการใช้งานระบบ (7+ ปี)</t>
  </si>
  <si>
    <t xml:space="preserve">unit-test-runner</t>
  </si>
  <si>
    <t xml:space="preserve">pytest / Jest / JUnit / Go test (Unit Test)</t>
  </si>
  <si>
    <t xml:space="preserve">Unit Test</t>
  </si>
  <si>
    <t xml:space="preserve">unit_test, code_quality</t>
  </si>
  <si>
    <t xml:space="preserve">Visual Studio Test Professional; TestNG Enterprise; NCrunch; JUnit (IntelliJ Ultimate)</t>
  </si>
  <si>
    <t xml:space="preserve">Test runner แบบขนาน (pytest-xdist / Jest workers) ใช้ RAM ≈ 500 MB ต่อ worker; 4 worker ≈ 2-4 GB</t>
  </si>
  <si>
    <t xml:space="preserve">ภาครัฐบังคับ Coverage &gt; 80% — coverage instrumentation ทำให้ใช้ RAM และเวลาเพิ่ม ~30-50% ต้องเผื่อไว้</t>
  </si>
  <si>
    <t xml:space="preserve">testcontainers</t>
  </si>
  <si>
    <t xml:space="preserve">Testcontainers / WireMock / Pact (Integration Test)</t>
  </si>
  <si>
    <t xml:space="preserve">Integration Test</t>
  </si>
  <si>
    <t xml:space="preserve">integration_test</t>
  </si>
  <si>
    <t xml:space="preserve">ISO/IEC 27001</t>
  </si>
  <si>
    <t xml:space="preserve">CORE-R3</t>
  </si>
  <si>
    <t xml:space="preserve">Tricentis Tosca; SmartBear ReadyAPI; Parasoft SOAtest; Postman Enterprise</t>
  </si>
  <si>
    <t xml:space="preserve">Integration test ที่ spin ฐานข้อมูล/queue จริงเป็น container ต้องบวก RAM ของ PostgreSQL (~1 GB) + Redis (~0.5 GB) + RabbitMQ (~1 GB) เข้าไปในตอนรัน</t>
  </si>
  <si>
    <t xml:space="preserve">เป็นขั้นที่กิน RAM สูงสุดใน Stage 4 เพราะรัน dependency จริงพร้อมกัน — อย่าให้ทับเวลากับ DAST Full Scan</t>
  </si>
  <si>
    <t xml:space="preserve">owasp-zap</t>
  </si>
  <si>
    <t xml:space="preserve">OWASP ZAP (DAST + API Security)</t>
  </si>
  <si>
    <t xml:space="preserve">DAST</t>
  </si>
  <si>
    <t xml:space="preserve">dast, api_security, vapt</t>
  </si>
  <si>
    <t xml:space="preserve">CYBER2562-R1, MIN2566-R3, OWASP-A01, OWASP-A05, OWASP-A07, WEB2568-R3</t>
  </si>
  <si>
    <t xml:space="preserve">Veracode Dynamic Analysis; Burp Suite Professional; Acunetix; Rapid7 InsightAppSec; StackHawk</t>
  </si>
  <si>
    <t xml:space="preserve">Nikto; w3af; Nuclei; Arachni; RESTler; Schemathesis</t>
  </si>
  <si>
    <t xml:space="preserve">ZAP เป็น Java app ค่าปริยาย heap ~25% ของ RAM เครื่อง; Full Scan/AJAX Spider บนเว็บใหญ่ควรตั้ง -Xmx 4 GB ขึ้นไป และ session file โต 1-10 GB ต่อรอบ</t>
  </si>
  <si>
    <t xml:space="preserve">แนวปฏิบัติที่ดีคือติดตั้ง ZAP บนเครื่องหนึ่งแล้วยิงสแกนข้ามเครื่องไปยัง Target ที่รันอยู่ (ห้ามยิงตัวเองเพราะจะแย่ง CPU กันจนผลเพี้ยน); การติดตั้งแบบ Native บน Host แทนการรันใน Docker ช่วยลด RAM ได้ประมาณ 15-20% เมื่อทรัพยากรจำกัด</t>
  </si>
  <si>
    <t xml:space="preserve">nuclei</t>
  </si>
  <si>
    <t xml:space="preserve">Nuclei (Template-based Vulnerability Scan)</t>
  </si>
  <si>
    <t xml:space="preserve">dast, api_security, vapt, tls_check</t>
  </si>
  <si>
    <t xml:space="preserve">พ.ร.บ.ไซเบอร์ 2562; มาตรฐานขั้นต่ำ 2566; มสพร. 11-2566 เว็บไซต์ภาครัฐ 3.0; PDPA 2562; มาตรฐานเว็บไซต์ 2568</t>
  </si>
  <si>
    <t xml:space="preserve">CYBER2562-R1, MIN2566-R3, OWASP-A01, OWASP-A04, OWASP-A05, OWASP-A07, OWASP-PQC, PDPA-R1, WEB2568-R1, WEB2568-R3</t>
  </si>
  <si>
    <t xml:space="preserve">Rapid7 InsightAppSec; Tenable.io; Qualys WAS</t>
  </si>
  <si>
    <t xml:space="preserve">Nuclei เป็น Go binary รัน template ขนานสูง; RAM 500 MB - 2 GB ตามจำนวน concurrency ที่ตั้ง</t>
  </si>
  <si>
    <t xml:space="preserve">เบากว่า ZAP มาก เหมาะรันทุกวันเป็น Fast Security Gate แล้วปล่อย ZAP Full Scan รอบสัปดาห์</t>
  </si>
  <si>
    <t xml:space="preserve">locust</t>
  </si>
  <si>
    <t xml:space="preserve">Locust (Performance / Load Test)</t>
  </si>
  <si>
    <t xml:space="preserve">Performance Test</t>
  </si>
  <si>
    <t xml:space="preserve">load</t>
  </si>
  <si>
    <t xml:space="preserve">perf_test</t>
  </si>
  <si>
    <t xml:space="preserve">CORE-R4</t>
  </si>
  <si>
    <t xml:space="preserve">BlazeMeter; LoadRunner Enterprise; NeoLoad; Gatling Enterprise</t>
  </si>
  <si>
    <t xml:space="preserve">K6; Apache JMeter; Gatling; Artillery; Vegeta; wrk</t>
  </si>
  <si>
    <t xml:space="preserve">Locust ใช้ ~1 CPU core ต่อ ~1,000 concurrent users (แบบ single-process) จึงต้องรัน master + workers; แนะนำ 1 worker ต่อ core และ RAM ~1 GB ต่อ 1,000 users</t>
  </si>
  <si>
    <t xml:space="preserve">ข้อควรระวังสำคัญ: ถ้ารัน Load Generator บนเครื่องเดียวกับระบบที่กำลังทดสอบ ผลการวัดจะเพี้ยน เพราะแย่ง CPU กันเอง ควรแยกเครื่องหรือแยกช่วงเวลาให้ชัดเจน และต้องกันทรัพยากรไว้เต็มจำนวนในช่วงที่รัน</t>
  </si>
  <si>
    <t xml:space="preserve">playwright-a11y</t>
  </si>
  <si>
    <t xml:space="preserve">Playwright + axe-core / pa11y-ci / Lighthouse CI (Accessibility)</t>
  </si>
  <si>
    <t xml:space="preserve">Accessibility Test</t>
  </si>
  <si>
    <t xml:space="preserve">accessibility, integration_test</t>
  </si>
  <si>
    <t xml:space="preserve">มสพร. 11-2566 เว็บไซต์ภาครัฐ 3.0</t>
  </si>
  <si>
    <t xml:space="preserve">MSPR11-R1</t>
  </si>
  <si>
    <t xml:space="preserve">Deque axe DevTools Pro; Siteimprove; Level Access</t>
  </si>
  <si>
    <t xml:space="preserve">Headless Chromium ใช้ RAM ~300-700 MB ต่อ browser context; 4 context ขนาน ≈ 2-3 GB</t>
  </si>
  <si>
    <t xml:space="preserve">จำเป็นสำหรับ .go.th ตาม มสพร. 11-2566 (WCAG 2.1/2.2 AA) — เป็นข้อที่โครงการภาครัฐมักตกเพราะไม่มีใน Pipeline; ต้องเก็บผลเป็นหลักฐาน Self-Assessment ตาม WEB2568-R4</t>
  </si>
  <si>
    <t xml:space="preserve">testssl</t>
  </si>
  <si>
    <t xml:space="preserve">testssl.sh / sslyze / CBOMkit (TLS + Crypto Inventory)</t>
  </si>
  <si>
    <t xml:space="preserve">TLS &amp; Crypto Validation</t>
  </si>
  <si>
    <t xml:space="preserve">tls_check, crypto_agility</t>
  </si>
  <si>
    <t xml:space="preserve">MSPR11-R2, OWASP-PQC</t>
  </si>
  <si>
    <t xml:space="preserve">OWASP-A04, PDPA-R1, WEB2568-R1</t>
  </si>
  <si>
    <t xml:space="preserve">Qualys SSL Labs API; Venafi TLS Protect; Entrust</t>
  </si>
  <si>
    <t xml:space="preserve">testssl.sh เป็น bash + openssl ใช้ RAM &lt; 300 MB; ใช้เวลา 2-10 นาทีต่อ endpoint</t>
  </si>
  <si>
    <t xml:space="preserve">ตรวจว่า TLS 1.2/1.3 เท่านั้น ไม่มี Self-signed ตาม มสพร. 11-2566 และ WEB2568-R1; CBOMkit ใช้ทำ Crypto Bill of Materials เตรียม Post-Quantum ตาม OWASP-PQC</t>
  </si>
  <si>
    <t xml:space="preserve">harbor</t>
  </si>
  <si>
    <t xml:space="preserve">Harbor (Private Container Registry, CNCF Graduated)</t>
  </si>
  <si>
    <t xml:space="preserve">Container Registry</t>
  </si>
  <si>
    <t xml:space="preserve">registry, container_scan, artifact_sign, audit_trail, version_tag</t>
  </si>
  <si>
    <t xml:space="preserve">CORE-R2, CYBER2562-R1, MIN2566-R1, MIN2566-R2, MIN2566-R4, OWASP-A02, OWASP-A03, OWASP-A08, OWASP-A09, WEB2568-R4</t>
  </si>
  <si>
    <t xml:space="preserve">JFrog Artifactory Enterprise; Amazon ECR; Azure Container Registry; Google Artifact Registry</t>
  </si>
  <si>
    <t xml:space="preserve">Zot; Quay.io; Distribution (Docker Registry); GitLab Container Registry</t>
  </si>
  <si>
    <t xml:space="preserve">Harbor docs: minimum 2 CPU / 4 GB RAM / 40 GB disk; recommended 4 CPU / 8 GB RAM / 160 GB disk — ประกอบด้วย core, registry, jobservice, PostgreSQL, Redis, Trivy</t>
  </si>
  <si>
    <t xml:space="preserve">รองรับ Air-gapped ตามข้อกำหนดภาครัฐ + มี Vulnerability Scan และ Cosign verification ในตัว; ต้องตั้ง Retention Policy ไม่งั้น disk โตไม่หยุด (2-5 GB/วัน จาก image tag ใหม่)</t>
  </si>
  <si>
    <t xml:space="preserve">minio</t>
  </si>
  <si>
    <t xml:space="preserve">MinIO (S3-compatible Object Storage)</t>
  </si>
  <si>
    <t xml:space="preserve">Artifact Storage</t>
  </si>
  <si>
    <t xml:space="preserve">AGPL-3.0</t>
  </si>
  <si>
    <t xml:space="preserve">registry, backup_dr, audit_trail</t>
  </si>
  <si>
    <t xml:space="preserve">พ.ร.บ.ไซเบอร์ 2562; มาตรฐานขั้นต่ำ 2566; มสพร. 11-2566 เว็บไซต์ภาครัฐ 3.0; มาตรฐานเว็บไซต์ 2568</t>
  </si>
  <si>
    <t xml:space="preserve">MIN2566-R4</t>
  </si>
  <si>
    <t xml:space="preserve">CORE-R2, CYBER2562-R1, CYBER2562-R3, MIN2566-R1, MIN2566-R2, MIN2566-R3, MSPR11-R3, OWASP-A03, OWASP-A08, OWASP-A09, WEB2568-R4</t>
  </si>
  <si>
    <t xml:space="preserve">Amazon S3; Azure Blob Storage; NetApp StorageGRID; Dell ECS</t>
  </si>
  <si>
    <t xml:space="preserve">MinIO ขั้นต่ำใช้งานได้ที่ 2 vCPU / 4 GB (เอกสารแนะนำ 32 GB สำหรับ production ที่โหลดสูง เพราะ cache metadata ใน RAM); erasure coding ต้องมี 4 drive ขึ้นไปถ้าต้องการ HA</t>
  </si>
  <si>
    <t xml:space="preserve">ใช้เป็นคลังเก็บ Container Image, Source Archive และ Report ที่เข้าถึงแบบ S3 API ได้ ต้องแยก Data Disk ออกจาก OS Disk เสมอ — ข้อควรระวัง License เป็น AGPL-3.0 ซึ่งขัดกับข้อห้าม ใช้ GPL/AGPL ของโครงการภาครัฐบางแห่ง ต้องตรวจว่าเข้าเงื่อนไข 'ไม่แก้ไข source และไม่ให้บริการต่อสาธารณะ' หรือขอ Commercial License</t>
  </si>
  <si>
    <t xml:space="preserve">elasticsearch</t>
  </si>
  <si>
    <t xml:space="preserve">Elasticsearch (Log / Audit Trail Index)</t>
  </si>
  <si>
    <t xml:space="preserve">Log &amp; Audit Store</t>
  </si>
  <si>
    <t xml:space="preserve">SSPL / Elastic License</t>
  </si>
  <si>
    <t xml:space="preserve">log_mgmt, audit_trail, siem_alert</t>
  </si>
  <si>
    <t xml:space="preserve">มาตรฐานคลาวด์ 2567; พ.ร.บ.ไซเบอร์ 2562; มาตรฐานขั้นต่ำ 2566; PDPA 2562; มาตรฐานเว็บไซต์ 2568</t>
  </si>
  <si>
    <t xml:space="preserve">MIN2566-R1</t>
  </si>
  <si>
    <t xml:space="preserve">CLOUD2567-R2, CORE-R2, CYBER2562-R1, CYBER2562-R2, MIN2566-R2, MIN2566-R4, OWASP-A09, PDPA-R1, PDPA-R2, WEB2568-R2, WEB2568-R4</t>
  </si>
  <si>
    <t xml:space="preserve">Splunk Enterprise; Datadog; Sumo Logic; Microsoft Sentinel</t>
  </si>
  <si>
    <t xml:space="preserve">Elasticsearch แนะนำ JVM heap ไม่เกิน 50% ของ RAM และไม่เกิน ~31 GB; ที่ 4 GB RAM ต้องตั้ง ES_JAVA_OPTS=-Xms2g -Xmx2g; index overhead รวม replica + doc_values ประมาณ 30-50% ของ raw log</t>
  </si>
  <si>
    <t xml:space="preserve">เป็นตัวกิน RAM และ Disk มากที่สุดในระบบ CI/CD — ถ้าต้องแชร์เครื่องกับ Orchestrator หรือ SAST ให้จำกัด heap ด้วย ES_JAVA_OPTS (เช่น 2-4 GB) เพื่อรักษาเสถียรภาพของเครื่อง; มาตรฐานขั้นต่ำ พ.ศ. 2566 บังคับเก็บ Log อย่างน้อย 90 วัน ซึ่งเป็นตัวกำหนดขนาด Data Disk โดยตรง</t>
  </si>
  <si>
    <t xml:space="preserve">logstash</t>
  </si>
  <si>
    <t xml:space="preserve">Logstash (Log Pipeline / Parser)</t>
  </si>
  <si>
    <t xml:space="preserve">Log Ingest</t>
  </si>
  <si>
    <t xml:space="preserve">log_mgmt</t>
  </si>
  <si>
    <t xml:space="preserve">CLOUD2567-R2, CYBER2562-R2, MIN2566-R1, OWASP-A09, PDPA-R1, PDPA-R2, WEB2568-R2</t>
  </si>
  <si>
    <t xml:space="preserve">Splunk Forwarder; Datadog Agent; Cribl Stream</t>
  </si>
  <si>
    <t xml:space="preserve">Logstash ค่าปริยาย heap 1 GB (แนะนำ 4-8 GB เมื่อ throughput สูง); ทุก pipeline worker กิน RAM เพิ่ม</t>
  </si>
  <si>
    <t xml:space="preserve">ถ้า RAM จำกัด ให้ตัด Logstash ออกและใช้ Filebeat -&gt; Elasticsearch Ingest Pipeline โดยตรง ประหยัดได้ 1.5-4 GB ต่อเครื่อง</t>
  </si>
  <si>
    <t xml:space="preserve">kibana</t>
  </si>
  <si>
    <t xml:space="preserve">Kibana (Log Visualization / Audit Review)</t>
  </si>
  <si>
    <t xml:space="preserve">Log UI</t>
  </si>
  <si>
    <t xml:space="preserve">Splunk Dashboards; Datadog; Grafana Enterprise</t>
  </si>
  <si>
    <t xml:space="preserve">Kibana เป็น Node.js app ค่าปริยาย heap ~1 GB (ปรับผ่าน NODE_OPTIONS --max-old-space-size)</t>
  </si>
  <si>
    <t xml:space="preserve">ใช้ตรวจ Access Log และ Audit Log ก่อนกด Approve ขึ้น Production ซึ่งเป็นหลักฐานประกอบการตรวจสอบระบบตาม พ.ร.บ. ไซเบอร์ ม.54-57</t>
  </si>
  <si>
    <t xml:space="preserve">filebeat</t>
  </si>
  <si>
    <t xml:space="preserve">Filebeat (Log Shipper ต่อเครื่อง)</t>
  </si>
  <si>
    <t xml:space="preserve">Log Agent</t>
  </si>
  <si>
    <t xml:space="preserve">Splunk Universal Forwarder; Datadog Agent; Fluent Bit</t>
  </si>
  <si>
    <t xml:space="preserve">Filebeat เป็น Go binary กิน RAM 50-150 MB ต่อ instance; ต้องลงทุกเครื่องที่ต้องการเก็บ log</t>
  </si>
  <si>
    <t xml:space="preserve">ทั้ง 2 โครงการใช้ Filebeat ส่ง Log เข้า Elasticsearch แบบ Real-time; ต้องนับ 1 instance ต่อ 1 VM ในการคำนวณ (เล็กแต่คูณจำนวนเครื่อง)</t>
  </si>
  <si>
    <t xml:space="preserve">wazuh</t>
  </si>
  <si>
    <t xml:space="preserve">Wazuh (SIEM / HIDS + Alerting)</t>
  </si>
  <si>
    <t xml:space="preserve">SIEM</t>
  </si>
  <si>
    <t xml:space="preserve">siem_alert, log_mgmt, audit_trail, runtime_security, config_mgmt</t>
  </si>
  <si>
    <t xml:space="preserve">CLOUD2567-R2, CORE-R2, CORE-R5, CYBER2562-R1, CYBER2562-R2, MIN2566-R2, MIN2566-R4, OWASP-A02, OWASP-A09, PDPA-R1, PDPA-R2, WEB2568-R2, WEB2568-R4</t>
  </si>
  <si>
    <t xml:space="preserve">Splunk Enterprise Security; Microsoft Sentinel; IBM QRadar; Elastic Security</t>
  </si>
  <si>
    <t xml:space="preserve">Wazuh docs: server ขั้นต่ำ 2 vCPU / 4 GB สำหรับ &lt; 25 agents แต่แนะนำ 4 vCPU / 8 GB ขึ้นไปเมื่อรวม Indexer; Indexer เป็น OpenSearch จึงกิน RAM แบบเดียวกับ Elasticsearch</t>
  </si>
  <si>
    <t xml:space="preserve">จำเป็นสำหรับ CYBER2562-R2 (เฝ้าระวัง + รายงาน สกมช. ทันที) และ PDPA-R2 (แจ้งเหตุใน 72 ชม.); ถ้ามี ELK อยู่แล้วให้พิจารณา Elastic Security แทนเพื่อไม่ต้องรัน OpenSearch ซ้อน</t>
  </si>
  <si>
    <t xml:space="preserve">vault</t>
  </si>
  <si>
    <t xml:space="preserve">HashiCorp Vault / OpenBao (Secret Management)</t>
  </si>
  <si>
    <t xml:space="preserve">Secret Management</t>
  </si>
  <si>
    <t xml:space="preserve">BUSL-1.1 / MPL-2.0</t>
  </si>
  <si>
    <t xml:space="preserve">secret_mgmt, iam_mfa, audit_trail</t>
  </si>
  <si>
    <t xml:space="preserve">CLOUD2567-R1, CLOUD2567-R2, CORE-R2, CORE-R5, CYBER2562-R1, MIN2566-R1, MIN2566-R2, MIN2566-R4, OWASP-A04, OWASP-A07, OWASP-A09, PDPA-R1, PDPA-R3, WEB2568-R1, WEB2568-R4</t>
  </si>
  <si>
    <t xml:space="preserve">HashiCorp Vault Enterprise; Azure Key Vault; AWS Secrets Manager; CyberArk Conjur</t>
  </si>
  <si>
    <t xml:space="preserve">OpenBao; Infisical; SOPS + age; Sealed Secrets</t>
  </si>
  <si>
    <t xml:space="preserve">Vault แนะนำ 2 vCPU / 4-8 GB สำหรับ production ขนาดเล็ก (มี in-memory cache + audit log); ต้องมี storage backend (Raft/Consul)</t>
  </si>
  <si>
    <t xml:space="preserve">ตอบ PDPA-R1 (การเข้ารหัส + Key Rotation) และ OWASP-A04; ห้ามเก็บ Credential ใน Jenkins Credentials อย่างเดียวเพราะไม่มี Rotation/Lease — Vault ต้องเปิด Audit Device ตลอดเวลา</t>
  </si>
  <si>
    <t xml:space="preserve">k3s-control</t>
  </si>
  <si>
    <t xml:space="preserve">Kubernetes / K3s Control Plane (ต่อ 1 Node)</t>
  </si>
  <si>
    <t xml:space="preserve">Container Orchestration</t>
  </si>
  <si>
    <t xml:space="preserve">orchestration, deploy_strategy, iam_mfa</t>
  </si>
  <si>
    <t xml:space="preserve">CLOUD2567-R1, CORE-R5, CYBER2562-R3, MIN2566-R2, OWASP-A07, PDPA-R1, WEB2568-R1</t>
  </si>
  <si>
    <t xml:space="preserve">Red Hat OpenShift; Rancher Enterprise; VMware Tanzu; Google GKE Enterprise; Azure AKS</t>
  </si>
  <si>
    <t xml:space="preserve">MicroK8s; K0s; Docker Swarm; Nomad; Docker Compose (UAT เท่านั้น)</t>
  </si>
  <si>
    <t xml:space="preserve">K3s docs: server node ขั้นต่ำ 2 vCPU / 2 GB (แนะนำ 4 GB); kubeadm control plane ขั้นต่ำ 2 vCPU / 2 GB แต่ etcd + apiserver ที่โหลดจริงควรมี 4 GB ขึ้นไป</t>
  </si>
  <si>
    <t xml:space="preserve">ถ้าโครงการยังใช้ Docker Compose อยู่ (เช่น UAT ของทั้ง 2 โครงการ) ยังไม่ต้องนับส่วนนี้ — แต่ต้องเผื่อไว้ในแผน Production เพราะ Blueprint ระบุ Container Orchestration เป็น Core</t>
  </si>
  <si>
    <t xml:space="preserve">argocd</t>
  </si>
  <si>
    <t xml:space="preserve">Argo CD / Flux (GitOps Continuous Delivery)</t>
  </si>
  <si>
    <t xml:space="preserve">Deployment Strategy</t>
  </si>
  <si>
    <t xml:space="preserve">deploy_strategy, audit_trail, quality_gate, version_tag</t>
  </si>
  <si>
    <t xml:space="preserve">CORE-R1, CORE-R2, CYBER2562-R1, CYBER2562-R3, MIN2566-R1, MIN2566-R2, MIN2566-R4, OWASP-A06, OWASP-A09, WEB2568-R4</t>
  </si>
  <si>
    <t xml:space="preserve">Harness CD; Spinnaker Enterprise; GitLab Premium Auto DevOps; LaunchDarkly</t>
  </si>
  <si>
    <t xml:space="preserve">Argo CD ประกอบด้วย api-server, repo-server, application-controller, Redis; รวมกันขั้นต่ำ ~2 vCPU / 2-4 GB สำหรับ &lt; 50 applications</t>
  </si>
  <si>
    <t xml:space="preserve">ให้ Git เป็น Single Source of Truth = ได้ Audit Trail และ Rollback ฟรีตาม CORE-R2; Argo Rollouts เพิ่ม Canary/Blue-Green ได้ด้วย resource เพิ่มเพียง ~0.5 vCPU / 0.5 GB</t>
  </si>
  <si>
    <t xml:space="preserve">falco</t>
  </si>
  <si>
    <t xml:space="preserve">Falco (Runtime Security Monitoring, ต่อ Node)</t>
  </si>
  <si>
    <t xml:space="preserve">Runtime Security</t>
  </si>
  <si>
    <t xml:space="preserve">runtime_security, siem_alert</t>
  </si>
  <si>
    <t xml:space="preserve">พ.ร.บ.ไซเบอร์ 2562; PDPA 2562; มาตรฐานเว็บไซต์ 2568</t>
  </si>
  <si>
    <t xml:space="preserve">CORE-R5, CYBER2562-R2, OWASP-A09, PDPA-R2, WEB2568-R2</t>
  </si>
  <si>
    <t xml:space="preserve">Aqua Runtime Security; Prisma Cloud Runtime Defense; Sysdig Secure; Lacework</t>
  </si>
  <si>
    <t xml:space="preserve">Tetragon; KubeArmor; Tracee; Osquery</t>
  </si>
  <si>
    <t xml:space="preserve">Falco ใช้ eBPF/kernel module ดักจับ syscall; RAM ~200-500 MB ต่อ node แต่ CPU เพิ่มขึ้นตาม syscall rate (ปกติ 5-15% ของ 1 core)</t>
  </si>
  <si>
    <t xml:space="preserve">ภาครัฐกำหนด 'Mandatory Real-time' — ต้องลงทุก node ที่รัน container; ระวัง event flood ทำให้ Elasticsearch โตเร็วกว่าที่ประเมิน ให้ตั้ง rule ให้แคบก่อนเปิดใช้จริง</t>
  </si>
  <si>
    <t xml:space="preserve">prometheus</t>
  </si>
  <si>
    <t xml:space="preserve">Prometheus (Metrics &amp; Alerting)</t>
  </si>
  <si>
    <t xml:space="preserve">Monitoring</t>
  </si>
  <si>
    <t xml:space="preserve">monitoring, siem_alert, notify</t>
  </si>
  <si>
    <t xml:space="preserve">มาตรฐานคลาวด์ 2567; พ.ร.บ.ไซเบอร์ 2562; PDPA 2562; มาตรฐานเว็บไซต์ 2568</t>
  </si>
  <si>
    <t xml:space="preserve">CLOUD2567-R2, CYBER2562-R2, OWASP-A09, PDPA-R2, WEB2568-R2, WEB2568-R4</t>
  </si>
  <si>
    <t xml:space="preserve">Datadog; Dynatrace; New Relic; Splunk; AppDynamics</t>
  </si>
  <si>
    <t xml:space="preserve">VictoriaMetrics; Mimir; Zabbix; OpenTelemetry Collector</t>
  </si>
  <si>
    <t xml:space="preserve">Prometheus ใช้ RAM ประมาณ 2-4 KB ต่อ active time series; 500,000 series ≈ 2-4 GB; disk ≈ 1.5-2 bytes ต่อ sample (scrape 15s = ~5,760 sample/series/วัน)</t>
  </si>
  <si>
    <t xml:space="preserve">สูตรประมาณ disk: series × 5,760 × 2 bytes × retention_days; 200,000 series เก็บ 180 วัน ≈ 400 GB — ถ้า disk ไม่พอให้ลด retention เป็น 30 วันแล้วส่งต่อไป Thanos/VictoriaMetrics</t>
  </si>
  <si>
    <t xml:space="preserve">grafana</t>
  </si>
  <si>
    <t xml:space="preserve">Grafana (Dashboard)</t>
  </si>
  <si>
    <t xml:space="preserve">Monitoring UI</t>
  </si>
  <si>
    <t xml:space="preserve">monitoring</t>
  </si>
  <si>
    <t xml:space="preserve">มาตรฐานคลาวด์ 2567; พ.ร.บ.ไซเบอร์ 2562; มาตรฐานเว็บไซต์ 2568</t>
  </si>
  <si>
    <t xml:space="preserve">CLOUD2567-R2, CYBER2562-R2, OWASP-A09, WEB2568-R2</t>
  </si>
  <si>
    <t xml:space="preserve">Datadog Dashboards; Grafana Enterprise; New Relic One</t>
  </si>
  <si>
    <t xml:space="preserve">Grafana เป็น Go binary กิน RAM 150-500 MB; ใช้ SQLite ในตัวหรือ PostgreSQL ภายนอก</t>
  </si>
  <si>
    <t xml:space="preserve">License เป็น AGPL-3.0 — เช่นเดียวกับ MinIO ต้องตรวจข้อห้าม GPL/AGPL ของภาครัฐก่อนใช้เชิงพาณิชย์/ให้บริการต่อ</t>
  </si>
  <si>
    <t xml:space="preserve">zabbix</t>
  </si>
  <si>
    <t xml:space="preserve">Zabbix Server (Infrastructure Monitoring)</t>
  </si>
  <si>
    <t xml:space="preserve">monitoring, notify, siem_alert</t>
  </si>
  <si>
    <t xml:space="preserve">Datadog; SolarWinds; Nagios XI; PRTG</t>
  </si>
  <si>
    <t xml:space="preserve">Zabbix server ขั้นต่ำ 2 vCPU / 2 GB สำหรับ &lt; 100 hosts แต่ต้องรวม MySQL/PostgreSQL อีก 2-4 GB; disk โตตาม history + trends</t>
  </si>
  <si>
    <t xml:space="preserve">ถ้าหน่วยงานมีระบบ Monitoring ส่วนกลางอยู่แล้ว (สังเกตได้จากพอร์ต 10051 ที่เปิดรออยู่บนเครื่อง) ให้ประสานส่ง metric เข้าระบบเดิม ไม่ติดตั้ง Prometheus ซ้อนอีกชุด เพื่อไม่ให้เสีย RAM ซ้ำซ้อน</t>
  </si>
  <si>
    <t xml:space="preserve">ansible-chef</t>
  </si>
  <si>
    <t xml:space="preserve">Ansible / Chef Client (Config Management &amp; Hardening)</t>
  </si>
  <si>
    <t xml:space="preserve">Configuration Management</t>
  </si>
  <si>
    <t xml:space="preserve">GPL-3.0 / Apache-2.0</t>
  </si>
  <si>
    <t xml:space="preserve">config_mgmt, iac_scan, backup_dr</t>
  </si>
  <si>
    <t xml:space="preserve">มาตรฐานคลาวด์ 2567; พ.ร.บ.ไซเบอร์ 2562; มาตรฐานขั้นต่ำ 2566; มสพร. 11-2566 เว็บไซต์ภาครัฐ 3.0; มาตรฐานเว็บไซต์ 2568</t>
  </si>
  <si>
    <t xml:space="preserve">CLOUD2567-R1, CYBER2562-R3, MIN2566-R2, MIN2566-R3, MIN2566-R4, MSPR11-R3, OWASP-A02, WEB2568-R4</t>
  </si>
  <si>
    <t xml:space="preserve">Red Hat Ansible Automation Platform; Chef Enterprise Automate; Puppet Enterprise</t>
  </si>
  <si>
    <t xml:space="preserve">Ansible controller ใช้ RAM ~100 MB ต่อ fork; 10 forks ≈ 1-2 GB; Chef Client บน node กิน ~300-500 MB ต่อรอบ converge</t>
  </si>
  <si>
    <t xml:space="preserve">ใช้ตรวจและบังคับ Configuration Baseline อัตโนมัติ เช่น Dual-Stack IPv4/IPv6, Kernel Parameter, Firewall Rule, การปิด service ที่ไม่ใช้ — ตอบข้อ Hardening Baseline ของ OWASP A02 และ MIN2566-R2</t>
  </si>
  <si>
    <t xml:space="preserve">modsecurity</t>
  </si>
  <si>
    <t xml:space="preserve">ModSecurity / Coraza (Web Application Firewall)</t>
  </si>
  <si>
    <t xml:space="preserve">WAF</t>
  </si>
  <si>
    <t xml:space="preserve">waf, tls_check</t>
  </si>
  <si>
    <t xml:space="preserve">MSPR11-R3, OWASP-A04, OWASP-PQC, PDPA-R1, WEB2568-R1</t>
  </si>
  <si>
    <t xml:space="preserve">F5 Advanced WAF; Cloudflare WAF; Imperva; Azure Application Gateway WAF; AWS WAF</t>
  </si>
  <si>
    <t xml:space="preserve">ModSecurity + OWASP CRS ทำงานเป็น module ของ Nginx/Apache; เพิ่ม RAM ~500 MB - 1 GB และ CPU ~10-30% ต่อ request เมื่อเปิด rule set เต็ม</t>
  </si>
  <si>
    <t xml:space="preserve">มสพร. 11-2566 'แนะนำ' แต่มาตรฐานเว็บไซต์ พ.ศ. 2568 'บังคับ' ให้ติดตั้ง WAF — ควรวางไว้ที่ Reverse Proxy หรือ API Gateway ไม่ใช่บนเครื่อง CI/CD เพราะจะกิน CPU ของ Pipeline</t>
  </si>
  <si>
    <t xml:space="preserve">keycloak</t>
  </si>
  <si>
    <t xml:space="preserve">Keycloak (SSO / MFA / Identity)</t>
  </si>
  <si>
    <t xml:space="preserve">Identity &amp; Access</t>
  </si>
  <si>
    <t xml:space="preserve">iam_mfa, audit_trail</t>
  </si>
  <si>
    <t xml:space="preserve">CLOUD2567-R1, CORE-R2, CORE-R5, CYBER2562-R1, MIN2566-R1, MIN2566-R2, MIN2566-R4, OWASP-A07, OWASP-A09, PDPA-R1, WEB2568-R1, WEB2568-R4</t>
  </si>
  <si>
    <t xml:space="preserve">Microsoft Entra ID; Okta; PingFederate; ForgeRock</t>
  </si>
  <si>
    <t xml:space="preserve">Keycloak เป็น Quarkus app แนะนำ heap 1-2 GB สำหรับ &lt; 10,000 users; ต้องมี PostgreSQL ภายนอกใน production</t>
  </si>
  <si>
    <t xml:space="preserve">ตอบ WEB2568-R1 (MFA บังคับสำหรับบัญชีสำคัญ) และ OWASP-A07 — ถ้าองค์กรมี SSO ส่วนกลางอยู่แล้ว ให้เชื่อมต่อผ่าน OIDC/SAML แทนการติดตั้งใหม่ ซึ่งประหยัดทั้ง RAM และภาระการดูแล</t>
  </si>
  <si>
    <t xml:space="preserve">velero-restic</t>
  </si>
  <si>
    <t xml:space="preserve">Velero / restic / pgBackRest (Backup &amp; DR)</t>
  </si>
  <si>
    <t xml:space="preserve">Backup &amp; DR</t>
  </si>
  <si>
    <t xml:space="preserve">backup_dr</t>
  </si>
  <si>
    <t xml:space="preserve">CYBER2562-R3, MIN2566-R3, MIN2566-R4, MSPR11-R3, WEB2568-R4</t>
  </si>
  <si>
    <t xml:space="preserve">Veeam; Commvault; Rubrik; Azure Backup</t>
  </si>
  <si>
    <t xml:space="preserve">restic/Velero ใช้ RAM ~500 MB - 2 GB ตอน backup (dedup index อยู่ใน RAM); ปริมาณ backup = ขนาดข้อมูล × จำนวน full copy + incremental</t>
  </si>
  <si>
    <t xml:space="preserve">MIN2566-R4 บังคับซ้อมแผน BCP ทุกปี และ CYBER2562-R3 บังคับแผนกู้คืนสำหรับ CII — Backup ต้องเก็บแยกเครื่อง/แยก site และต้องทดสอบ Restore จริง ไม่ใช่แค่ Backup ผ่าน</t>
  </si>
  <si>
    <t xml:space="preserve">prowler</t>
  </si>
  <si>
    <t xml:space="preserve">Prowler / ScoutSuite (Cloud &amp; Infra Posture Scan)</t>
  </si>
  <si>
    <t xml:space="preserve">CSPM</t>
  </si>
  <si>
    <t xml:space="preserve">cspm, iac_scan, config_mgmt</t>
  </si>
  <si>
    <t xml:space="preserve">มาตรฐานคลาวด์ 2567; มาตรฐานขั้นต่ำ 2566</t>
  </si>
  <si>
    <t xml:space="preserve">CLOUD2567-R1, MIN2566-R2, OWASP-A02</t>
  </si>
  <si>
    <t xml:space="preserve">Prisma Cloud; Wiz; Orca Security; Microsoft Defender for Cloud</t>
  </si>
  <si>
    <t xml:space="preserve">Prowler เป็น Python CLI เรียก API ของ cloud provider; RAM 1-2 GB, เวลารัน 10-60 นาทีตามขนาด account</t>
  </si>
  <si>
    <t xml:space="preserve">ตอบ CLOUD2567-R1 — Prowler ออกแบบมาสำหรับ Cloud API ถ้าระบบเป็น On-premise ล้วน ให้ใช้ CIS Benchmark scanner เช่น OpenSCAP หรือ Lynis แทน</t>
  </si>
  <si>
    <t xml:space="preserve">mlflow</t>
  </si>
  <si>
    <t xml:space="preserve">MLflow (Experiment Tracking + Model Registry)</t>
  </si>
  <si>
    <t xml:space="preserve">Model Registry</t>
  </si>
  <si>
    <t xml:space="preserve">version_tag, registry, audit_trail, artifact_sign</t>
  </si>
  <si>
    <t xml:space="preserve">CORE-R2, CYBER2562-R1, MIN2566-R1, MIN2566-R2, MIN2566-R4, OWASP-A03, OWASP-A08, OWASP-A09, WEB2568-R4</t>
  </si>
  <si>
    <t xml:space="preserve">Azure ML; AWS SageMaker Model Registry; Databricks Model Registry; Weights &amp; Biases; Neptune.ai</t>
  </si>
  <si>
    <t xml:space="preserve">MLflow tracking server เป็น Flask/Gunicorn ใช้ RAM ~500 MB - 2 GB; artifact store ควรชี้ไป MinIO/S3 ไม่ใช่ local disk</t>
  </si>
  <si>
    <t xml:space="preserve">จำเป็นเมื่อต้อง Track Experiment และ Model Version; ถ้าโครงการมีขั้นตอนประเมินผลโมเดล (Model / LLM Evaluation) ควรผูกผลการประเมินเข้ากับ Model Registry เพื่อตรวจย้อนหลังได้ว่า เวอร์ชันไหนผ่านเกณฑ์อะไร</t>
  </si>
  <si>
    <t xml:space="preserve">llm-eval</t>
  </si>
  <si>
    <t xml:space="preserve">LLM Evaluation Runner (AI/LLM Eval Harness)</t>
  </si>
  <si>
    <t xml:space="preserve">AI Model Evaluation</t>
  </si>
  <si>
    <t xml:space="preserve">unit_test, integration_test, quality_gate</t>
  </si>
  <si>
    <t xml:space="preserve">CORE-R1, CORE-R3, OWASP-A06</t>
  </si>
  <si>
    <t xml:space="preserve">Azure ML Quality Gates; SageMaker Model Monitor; Databricks Model Serving</t>
  </si>
  <si>
    <t xml:space="preserve">การประเมิน LLM ผ่าน API ภายนอกใช้ CPU/RAM ไม่มาก (I/O bound) แต่ถ้ารัน model ในเครื่องต้องมี GPU; batch eval ขนาดกลางใช้ 4 vCPU / 8 GB</t>
  </si>
  <si>
    <t xml:space="preserve">ถ้าใช้ AI Model-as-a-Service ภายนอก งานนี้จะเป็น I/O bound ใช้ CPU/RAM ไม่มาก แต่ต้อง whitelist ปลายทางที่ Proxy; ข้อควรระวังคือมักถูกวางรวมกับ Load Test, Search Engine และ Object Storage บนเครื่องเดียว จึงต้องคุมด้วยตารางเวลาไม่ให้รันทับกัน</t>
  </si>
  <si>
    <t xml:space="preserve">gpu-training</t>
  </si>
  <si>
    <t xml:space="preserve">GPU Training Node (Model Training / Fine-tune)</t>
  </si>
  <si>
    <t xml:space="preserve">AI Model Training</t>
  </si>
  <si>
    <t xml:space="preserve">N/A</t>
  </si>
  <si>
    <t xml:space="preserve">Azure ML Compute; AWS SageMaker Training; Google Vertex AI; Databricks</t>
  </si>
  <si>
    <t xml:space="preserve">Training node ต้องมี GPU (เช่น H100/A100) + RAM &gt;= 2 เท่าของ VRAM + NVMe สำหรับ dataset; CPU 8 core ขึ้นไปเพื่อป้อนข้อมูลไม่ให้ GPU รอ</t>
  </si>
  <si>
    <t xml:space="preserve">สภาพแวดล้อมของหน่วยงานหลายแห่งไม่รองรับ GPU ทำให้ต้องแยก Training Node ออกไปภายนอก — ข้อจำกัดนี้ต้องระบุใน TOR ให้ชัดว่าใครรับผิดชอบจัดหา GPU และเชื่อมต่อกันอย่างไร ไม่งั้นจะกลายเป็นข้อพิพาทตอนส่งมอบ</t>
  </si>
  <si>
    <t xml:space="preserve">redis</t>
  </si>
  <si>
    <t xml:space="preserve">Redis (Cache สำหรับเครื่องมือ CI/CD)</t>
  </si>
  <si>
    <t xml:space="preserve">Supporting Cache</t>
  </si>
  <si>
    <t xml:space="preserve">RSALv2 / SSPL</t>
  </si>
  <si>
    <t xml:space="preserve">Azure Cache for Redis; AWS ElastiCache; Redis Enterprise</t>
  </si>
  <si>
    <t xml:space="preserve">Redis เก็บข้อมูลใน RAM ทั้งหมด — ขนาด RAM = ขนาด dataset × 1.5 (เผื่อ fragmentation + COW ตอน BGSAVE); ต้องตั้ง maxmemory-policy</t>
  </si>
  <si>
    <t xml:space="preserve">Harbor, Argo CD และ GitLab ต่างต้องใช้ Redis — ควรใช้ instance เดียวแล้วแยก database index แทนการรัน 3 instance ซึ่งประหยัด RAM ได้ 2-3 GB</t>
  </si>
  <si>
    <t xml:space="preserve">rabbitmq</t>
  </si>
  <si>
    <t xml:space="preserve">RabbitMQ (Message Queue)</t>
  </si>
  <si>
    <t xml:space="preserve">Supporting Queue</t>
  </si>
  <si>
    <t xml:space="preserve">MPL-2.0</t>
  </si>
  <si>
    <t xml:space="preserve">Azure Service Bus; AWS SQS; IBM MQ</t>
  </si>
  <si>
    <t xml:space="preserve">RabbitMQ ต้องมี disk free &gt;= 1-2 GB (disk_free_limit) ไม่งั้นจะ block publisher; RAM watermark ค่าปริยาย 40% ของ RAM เครื่อง</t>
  </si>
  <si>
    <t xml:space="preserve">โดยปกติเป็นของฝั่ง Application ไม่ใช่ CI/CD แต่ต้องนับรวมถ้าถูกวางบนเครื่องเดียวกับ Pipeline เพราะ RAM watermark ค่าปริยาย 40% ของเครื่องจะกินโควตาของงาน Build ไปด้วย</t>
  </si>
  <si>
    <t xml:space="preserve">sftp-nfs</t>
  </si>
  <si>
    <t xml:space="preserve">SFTP / NFS File Server</t>
  </si>
  <si>
    <t xml:space="preserve">File Transfer</t>
  </si>
  <si>
    <t xml:space="preserve">BSD</t>
  </si>
  <si>
    <t xml:space="preserve">backup_dr, registry</t>
  </si>
  <si>
    <t xml:space="preserve">CYBER2562-R3, MIN2566-R3, MIN2566-R4, MSPR11-R3, OWASP-A03, OWASP-A08, WEB2568-R4</t>
  </si>
  <si>
    <t xml:space="preserve">Azure Files; AWS EFS; NetApp</t>
  </si>
  <si>
    <t xml:space="preserve">sshd/nfsd กิน RAM น้อย (&lt; 300 MB) แต่ throughput ขึ้นกับ disk I/O และ network; ต้องเผื่อ page cache</t>
  </si>
  <si>
    <t xml:space="preserve">มักถูกวางรวมกับ Object Storage และ Container Runtime บนเครื่องเดียว ต้องตรวจว่า RAM เหลือพอ สำหรับ metadata cache ของ Object Storage หรือไม่ เพราะ page cache ของ NFS แย่งพื้นที่เดียวกัน</t>
  </si>
  <si>
    <t xml:space="preserve">สรุป</t>
  </si>
  <si>
    <t xml:space="preserve">ผลรวมข้างบนคือ 'ถ้าแยกทุกเครื่องมือคนละเครื่อง' ซึ่งไม่ใช่วิธีที่ใช้จริง — ดูการคำนวณกรณีแชร์เครื่องที่ชีท 03 และ 04</t>
  </si>
  <si>
    <t xml:space="preserve">หมายเหตุที่มาของข้อมูล</t>
  </si>
  <si>
    <t xml:space="preserve">• โครงสร้าง 6 Stage และรายชื่อเครื่องมือ: CI/CD Service Blueprint V0.2</t>
  </si>
  <si>
    <t xml:space="preserve">• ข้อกำหนด compliance: แนวปฏิบัติการพัฒนาซอฟต์แวร์ กฎระเบียบเกี่ยวข้องทางไซเบอร์และสถาปัตยกรรมระบบที่มั่นคงปลอดภัย V0.2</t>
  </si>
  <si>
    <t xml:space="preserve">• ค่า min/rec: เอกสารติดตั้งของผู้พัฒนาแต่ละเครื่องมือ (ดูคอลัมน์ Sizing Reference) และค่าที่พบจากการใช้งานจริงระดับ UAT/Production ขนาดเล็ก</t>
  </si>
  <si>
    <t xml:space="preserve">• ค่าฐานปริมาณข้อมูล: ค่าฐานอ้างอิงสภาพแวดล้อม UAT/Production ขนาดเล็ก: ประมาณ 10 builds/วัน, 1-3 แอปพลิเคชัน, ทีม 5-15 คน, log ระดับ INFO — ใช้ Scale Factor ในโปรแกรมเพื่อขยายตามขนาดจริง</t>
  </si>
  <si>
    <t xml:space="preserve">• คอลัมน์ 'มาตรฐานไทย/สากลที่ช่วยตอบ' คำนวณจาก capability ของเครื่องมือเทียบกับข้อกำหนดในชีท 07 จึงเปลี่ยนตามอัตโนมัติเมื่อเพิ่มข้อกำหนดใหม่</t>
  </si>
  <si>
    <t xml:space="preserve">• 'ตอบได้ครบด้วยตัวเอง' = capability ทุกตัวที่ข้อกำหนดนั้นต้องการ มีอยู่ในเครื่องมือนี้ตัวเดียว | 'ช่วยตอบบางส่วน' = ต้องมีเครื่องมืออื่นประกอบด้วย</t>
  </si>
  <si>
    <t xml:space="preserve">• การมีเครื่องมือครบ ไม่ได้แปลว่าผ่านมาตรฐาน — ยังต้องตั้งค่าให้ถูกต้องและมีหลักฐานการตรวจสอบตามที่กฎหมายกำหนด</t>
  </si>
  <si>
    <t xml:space="preserve">• ตัวเลขทั้งหมดเป็น 'ค่าตั้งต้นสำหรับประเมิน' ต้องปรับตามผลวัดจริง (baseline measurement) หลังติดตั้ง 2-4 สัปดาห์</t>
  </si>
  <si>
    <t xml:space="preserve">02 — ชั้นความถี่การรัน และการแปลงเป็นน้ำหนัก (Duty Weight)</t>
  </si>
  <si>
    <t xml:space="preserve">w = w_base + w_span x activity_index  -&gt;  อยู่ในช่วง 50% - 95% ตามโจทย์</t>
  </si>
  <si>
    <t xml:space="preserve">ความถี่การรัน</t>
  </si>
  <si>
    <t xml:space="preserve">ครั้ง/วัน</t>
  </si>
  <si>
    <t xml:space="preserve">activity_index</t>
  </si>
  <si>
    <t xml:space="preserve">เหตุผล / ข้อควรระวัง</t>
  </si>
  <si>
    <t xml:space="preserve">รันค้างตลอดเวลา 24/7 (Resident Daemon)</t>
  </si>
  <si>
    <t xml:space="preserve">ตลอดเวลา</t>
  </si>
  <si>
    <t xml:space="preserve">กินหน่วยความจำถาวร เช่น Jenkins Master, Elasticsearch, PostgreSQL, MinIO — บวกเต็มเกือบ 100%</t>
  </si>
  <si>
    <t xml:space="preserve">ทุก Commit / Push (10-30 ครั้ง/วัน)</t>
  </si>
  <si>
    <t xml:space="preserve">10-30</t>
  </si>
  <si>
    <t xml:space="preserve">Trigger บ่อยมาก เกิดการซ้อนทับของงาน (overlap) สูง</t>
  </si>
  <si>
    <t xml:space="preserve">ทุก Build / Merge (5-15 ครั้ง/วัน)</t>
  </si>
  <si>
    <t xml:space="preserve">5-15</t>
  </si>
  <si>
    <t xml:space="preserve">รันเป็นช่วง ๆ ระหว่างวันทำงาน มีโอกาสซ้อนทับปานกลาง</t>
  </si>
  <si>
    <t xml:space="preserve">ทุก Pull Request / Quality Gate (3-10 ครั้ง/วัน)</t>
  </si>
  <si>
    <t xml:space="preserve">3-10</t>
  </si>
  <si>
    <t xml:space="preserve">ผูกกับรอบ Review ของทีม</t>
  </si>
  <si>
    <t xml:space="preserve">รอบกลางคืน / วันละครั้ง (Nightly)</t>
  </si>
  <si>
    <t xml:space="preserve">เช่น DAST Full Scan, Dependency-Check ที่ใช้เวลานาน ย้ายไปรันหลังบ้าน</t>
  </si>
  <si>
    <t xml:space="preserve">รายสัปดาห์ (1-2 ครั้ง/สัปดาห์)</t>
  </si>
  <si>
    <t xml:space="preserve">0.15-0.3</t>
  </si>
  <si>
    <t xml:space="preserve">เช่น Performance/Load Test รอบใหญ่, License Audit</t>
  </si>
  <si>
    <t xml:space="preserve">on_demand</t>
  </si>
  <si>
    <t xml:space="preserve">ตามคำสั่ง / รอบ Release (ไม่กี่ครั้ง/เดือน)</t>
  </si>
  <si>
    <t xml:space="preserve">&lt;0.1</t>
  </si>
  <si>
    <t xml:space="preserve">บวกที่ 50% ซึ่งเป็นค่าต่ำสุดของช่วงที่กำหนด เพราะยังต้องกันที่ไว้ให้รันได้</t>
  </si>
  <si>
    <t xml:space="preserve">ที่มาของช่วง 50-95%: เป็นเงื่อนไขที่กำหนดในโจทย์ — เครื่องมือที่รันตามคำสั่ง/รอบ Release บวกที่ 50% (ยังต้องกันที่ไว้ให้รันได้) ส่วนเครื่องมือที่รันค้าง 24/7 บวกที่ 95% (เกือบเต็มเพราะจองหน่วยความจำถาวร)</t>
  </si>
  <si>
    <t xml:space="preserve">03 — เครื่องคำนวณกรณีเครื่องเดียวแชร์หลายเครื่องมือ (Co-location Input)</t>
  </si>
  <si>
    <t xml:space="preserve">ใส่ 1 ในคอลัมน์ VM ที่ต้องการติดตั้งเครื่องมือนั้น (0 หรือว่าง = ไม่ติดตั้ง) แล้วดูผลที่ชีท 04 · ค่าเริ่มต้นคือผังอ้างอิง 6 เครื่องสำหรับภาครัฐ — ผังแบบอื่นดูที่ชีท 10</t>
  </si>
  <si>
    <t xml:space="preserve">EDGE-01</t>
  </si>
  <si>
    <t xml:space="preserve">CI-CONTROL-01</t>
  </si>
  <si>
    <t xml:space="preserve">BUILD-AGENT-01</t>
  </si>
  <si>
    <t xml:space="preserve">SEC-TEST-01</t>
  </si>
  <si>
    <t xml:space="preserve">STORE-LOG-01</t>
  </si>
  <si>
    <t xml:space="preserve">DEPLOY-MON-01</t>
  </si>
  <si>
    <t xml:space="preserve">(ว่าง) VM07</t>
  </si>
  <si>
    <t xml:space="preserve">(ว่าง) VM08</t>
  </si>
  <si>
    <t xml:space="preserve">(ว่าง) VM09</t>
  </si>
  <si>
    <t xml:space="preserve">(ว่าง) VM10</t>
  </si>
  <si>
    <t xml:space="preserve">conc_group</t>
  </si>
  <si>
    <t xml:space="preserve">min RAM</t>
  </si>
  <si>
    <t xml:space="preserve">Idle RAM</t>
  </si>
  <si>
    <t xml:space="preserve">Resident</t>
  </si>
  <si>
    <t xml:space="preserve">Install GB</t>
  </si>
  <si>
    <t xml:space="preserve">GB/วัน</t>
  </si>
  <si>
    <t xml:space="preserve">Retention</t>
  </si>
  <si>
    <t xml:space="preserve">Data GB @H1</t>
  </si>
  <si>
    <t xml:space="preserve">Data GB @H2</t>
  </si>
  <si>
    <t xml:space="preserve">Data GB @H3</t>
  </si>
  <si>
    <t xml:space="preserve">Data GB @H4</t>
  </si>
  <si>
    <t xml:space="preserve">VM01</t>
  </si>
  <si>
    <t xml:space="preserve">VM02</t>
  </si>
  <si>
    <t xml:space="preserve">VM03</t>
  </si>
  <si>
    <t xml:space="preserve">VM04</t>
  </si>
  <si>
    <t xml:space="preserve">VM05</t>
  </si>
  <si>
    <t xml:space="preserve">VM06</t>
  </si>
  <si>
    <t xml:space="preserve">VM07</t>
  </si>
  <si>
    <t xml:space="preserve">VM08</t>
  </si>
  <si>
    <t xml:space="preserve">VM09</t>
  </si>
  <si>
    <t xml:space="preserve">VM10</t>
  </si>
  <si>
    <t xml:space="preserve">จำนวนเครื่องมือบน VM นี้</t>
  </si>
  <si>
    <t xml:space="preserve">04 — ผลการคำนวณทรัพยากรต่อ VM (Minimum ที่ต้องจัดสรร)</t>
  </si>
  <si>
    <t xml:space="preserve">สูตรทั้งหมดอ้างอิงชีท 03 และ 05 — เปลี่ยนการติดตั้งที่ชีท 03 แล้วตัวเลขที่นี่จะเปลี่ยนตาม</t>
  </si>
  <si>
    <t xml:space="preserve">VM</t>
  </si>
  <si>
    <t xml:space="preserve">บทบาทหน้าที่</t>
  </si>
  <si>
    <t xml:space="preserve">จำนวน
เครื่องมือ</t>
  </si>
  <si>
    <t xml:space="preserve">A: Peak-Max
vCPU</t>
  </si>
  <si>
    <t xml:space="preserve">A: Peak-Max
RAM</t>
  </si>
  <si>
    <t xml:space="preserve">B1 Strict
vCPU</t>
  </si>
  <si>
    <t xml:space="preserve">B1 Strict
RAM</t>
  </si>
  <si>
    <t xml:space="preserve">B2 Realistic
vCPU</t>
  </si>
  <si>
    <t xml:space="preserve">B2 Realistic
RAM</t>
  </si>
  <si>
    <t xml:space="preserve">C: Resident
vCPU</t>
  </si>
  <si>
    <t xml:space="preserve">C: Resident
RAM</t>
  </si>
  <si>
    <t xml:space="preserve">MAX(A,B,C)
vCPU</t>
  </si>
  <si>
    <t xml:space="preserve">MAX(A,B,C)
RAM</t>
  </si>
  <si>
    <t xml:space="preserve">+OS
vCPU</t>
  </si>
  <si>
    <t xml:space="preserve">+OS
RAM</t>
  </si>
  <si>
    <t xml:space="preserve">จัดสรร
vCPU</t>
  </si>
  <si>
    <t xml:space="preserve">จัดสรร
RAM (GB)</t>
  </si>
  <si>
    <t xml:space="preserve">Install
รวม (GB)</t>
  </si>
  <si>
    <t xml:space="preserve">Data @H3
(GB)</t>
  </si>
  <si>
    <t xml:space="preserve">ต้องมี Disk OS
(GB)</t>
  </si>
  <si>
    <t xml:space="preserve">ต้องมี Disk Data
(GB)</t>
  </si>
  <si>
    <t xml:space="preserve">จัดสรร
Disk OS</t>
  </si>
  <si>
    <t xml:space="preserve">จัดสรร
Disk Data</t>
  </si>
  <si>
    <t xml:space="preserve">spec จริง
vCPU</t>
  </si>
  <si>
    <t xml:space="preserve">spec จริง
RAM</t>
  </si>
  <si>
    <t xml:space="preserve">spec จริง
Disk OS</t>
  </si>
  <si>
    <t xml:space="preserve">spec จริง
Disk Data</t>
  </si>
  <si>
    <t xml:space="preserve">ส่วนต่าง
vCPU</t>
  </si>
  <si>
    <t xml:space="preserve">ส่วนต่าง
RAM</t>
  </si>
  <si>
    <t xml:space="preserve">ส่วนต่าง
Disk OS</t>
  </si>
  <si>
    <t xml:space="preserve">ส่วนต่าง
Disk Data</t>
  </si>
  <si>
    <t xml:space="preserve">ผลประเมิน</t>
  </si>
  <si>
    <t xml:space="preserve">ตัวกำหนด vCPU</t>
  </si>
  <si>
    <t xml:space="preserve">ตัวกำหนด RAM</t>
  </si>
  <si>
    <t xml:space="preserve">Edge / Reverse Proxy: รับ traffic ขาเข้า, WAF, TLS Termination, SSO</t>
  </si>
  <si>
    <t xml:space="preserve">CI Control: Git Repository, Pipeline Orchestration, SAST และ Quality Gate</t>
  </si>
  <si>
    <t xml:space="preserve">Build Agent: Compile, Container Build, Unit/Integration Test และสแกนใน Pipeline</t>
  </si>
  <si>
    <t xml:space="preserve">Security &amp; Performance Test: DAST, API Security, Accessibility, TLS, Load Test</t>
  </si>
  <si>
    <t xml:space="preserve">Store &amp; Log: Container Registry, Object Storage, Secret Management, Log และ Audit Trail</t>
  </si>
  <si>
    <t xml:space="preserve">Deploy &amp; Monitor: Orchestration, GitOps, Runtime Security, Observability, Backup</t>
  </si>
  <si>
    <t xml:space="preserve">(กรอกบทบาทหน้าที่)</t>
  </si>
  <si>
    <t xml:space="preserve">วิธีคำนวณ (ตามเงื่อนไขที่กำหนด)</t>
  </si>
  <si>
    <t xml:space="preserve">เงื่อนไข 1 — A: Peak-Max</t>
  </si>
  <si>
    <t xml:space="preserve">คือ MAX( minimum ของทุกเครื่องมือบนเครื่องนั้น )  ตีความว่า ณ เวลาหนึ่งมีเครื่องมือเดียวที่ทำงานหนักสุด — เป็นพื้นขั้นต่ำที่ต้องมีเพื่อให้ตัวที่หนักสุดรันผ่าน</t>
  </si>
  <si>
    <t xml:space="preserve">เงื่อนไข 2 — B1: Weighted-Sum (strict)</t>
  </si>
  <si>
    <t xml:space="preserve">คือ ผลรวมของ ( minimum x w ) ทุกเครื่องมือ  โดย w = 50% ถึง 95% ตามความถี่ที่เครื่องมือต้องรันหรือรันค้างหลังบ้าน (ดูชีท 02) — เป็นค่าที่โจทย์กำหนด และเป็นค่าปลอดภัยที่สุด</t>
  </si>
  <si>
    <t xml:space="preserve">เงื่อนไข 2 — B2: Weighted-Sum (realistic)</t>
  </si>
  <si>
    <t xml:space="preserve">คือ ผลรวมกลุ่ม resident (บวกทุกตัว) + ค่าสูงสุดของกลุ่ม ci_seq + ค่าสูงสุดของกลุ่ม async + ค่าสูงสุดของกลุ่ม load  เพราะขั้นตอนภายใน Pipeline รอบเดียวกันทำงานเรียงต่อกัน ไม่ได้รันพร้อมกัน</t>
  </si>
  <si>
    <t xml:space="preserve">ตัวตรวจ — C: Resident Floor</t>
  </si>
  <si>
    <t xml:space="preserve">คือ ผลรวม Idle RAM ของเครื่องมือที่รันค้าง 24/7  ถ้า A และ B ต่ำกว่า C แปลว่าเครื่องบูตขึ้นมาก็เต็มแล้ว จึงต้องยกขึ้นเป็น C</t>
  </si>
  <si>
    <t xml:space="preserve">ผลลัพธ์</t>
  </si>
  <si>
    <t xml:space="preserve">REQUIRED เท่ากับ MAX(A, B, C) + OS Reserve  -&gt;  ปัดขึ้นตาม Allocation Ladder  (ตามโจทย์ที่ระบุว่า 'ต้องเป็นค่าที่มากสุดสำหรับ minimum เท่านั้น')</t>
  </si>
  <si>
    <t xml:space="preserve">Disk OS</t>
  </si>
  <si>
    <t xml:space="preserve">คือ (OS Reserve + ผลรวม Install ของทุกเครื่องมือ) / (1 - Disk Free Ratio)</t>
  </si>
  <si>
    <t xml:space="preserve">Disk Data</t>
  </si>
  <si>
    <t xml:space="preserve">คือ ผลรวม Data GB ณ ช่วงเวลาที่ประเมิน / (1 - Disk Free Ratio)  โดย Data GB เท่ากับ GB/วัน x Scale x (1+Growth)^(เดือน/12) x MIN(Retention, เดือน x 30.44) x (1 + Index OH)</t>
  </si>
  <si>
    <t xml:space="preserve">05 — พารามิเตอร์ของโมเดล (แก้ไขได้)</t>
  </si>
  <si>
    <t xml:space="preserve">ช่องตัวอักษรสีน้ำเงิน = ผู้ใช้แก้ไขได้ / สีดำ = คำนวณอัตโนมัติ</t>
  </si>
  <si>
    <t xml:space="preserve">Allocation Ladder — ปัดขึ้นเสมอ</t>
  </si>
  <si>
    <t xml:space="preserve">โหมดการคำนวณ (mode)</t>
  </si>
  <si>
    <t xml:space="preserve">strict</t>
  </si>
  <si>
    <t xml:space="preserve">strict = ใช้เงื่อนไข B1 บวกทุกเครื่องมือถ่วงน้ำหนัก (ตามโจทย์ที่กำหนด, ปลอดภัยที่สุด) | realistic = ใช้ B2 บวกข้ามกลุ่มและใช้ค่าสูงสุดในกลุ่มที่รันเรียงกัน</t>
  </si>
  <si>
    <t xml:space="preserve">vCPU</t>
  </si>
  <si>
    <t xml:space="preserve">RAM (GB)</t>
  </si>
  <si>
    <t xml:space="preserve">Disk (GB)</t>
  </si>
  <si>
    <t xml:space="preserve">Scale Factor ปริมาณข้อมูล</t>
  </si>
  <si>
    <t xml:space="preserve">1.0 = ค่าฐาน UAT/Production ขนาดเล็ก (~10 builds/วัน, 1-3 แอป, ทีม 5-15 คน). ทีม 50 คน / 50 builds ต่อวัน ให้ใช้ 3-5</t>
  </si>
  <si>
    <t xml:space="preserve">OS Reserve — vCPU</t>
  </si>
  <si>
    <t xml:space="preserve">กันไว้ให้ OS + Container Runtime ของทุก VM</t>
  </si>
  <si>
    <t xml:space="preserve">OS Reserve — RAM (GB)</t>
  </si>
  <si>
    <t xml:space="preserve">กันไว้ให้ OS + Docker/containerd + Agent ต่าง ๆ</t>
  </si>
  <si>
    <t xml:space="preserve">OS Reserve — Disk (GB)</t>
  </si>
  <si>
    <t xml:space="preserve">ระบบปฏิบัติการ Ubuntu + swap + log ระบบ</t>
  </si>
  <si>
    <t xml:space="preserve">Disk Free Ratio</t>
  </si>
  <si>
    <t xml:space="preserve">ต้องเหลือพื้นที่ว่างเป็นสัดส่วนนี้เสมอ (0.25 = เหลือว่าง 25%) เพราะ Docker/Elasticsearch จะหยุดทำงานเมื่อ disk ใกล้เต็ม</t>
  </si>
  <si>
    <t xml:space="preserve">w_base (น้ำหนักต่ำสุด)</t>
  </si>
  <si>
    <t xml:space="preserve">คือ 50% ตามโจทย์ที่กำหนด — ใช้กับเครื่องมือที่รันตามคำสั่ง/รอบ Release</t>
  </si>
  <si>
    <t xml:space="preserve">w_span (ช่วงน้ำหนัก)</t>
  </si>
  <si>
    <t xml:space="preserve">คือ 0.45 ทำให้น้ำหนักสูงสุด = 0.50 + 0.45 = 0.95 (95%) ตามโจทย์</t>
  </si>
  <si>
    <t xml:space="preserve">ช่วงเวลาประเมินผลลัพธ์ระยะยาว (เดือน)</t>
  </si>
  <si>
    <t xml:space="preserve">H1</t>
  </si>
  <si>
    <t xml:space="preserve">H2</t>
  </si>
  <si>
    <t xml:space="preserve">H3</t>
  </si>
  <si>
    <t xml:space="preserve">ค่านี้ใช้ในคอลัมน์ 'Data @H3' ของชีท 04_VM_Sizing</t>
  </si>
  <si>
    <t xml:space="preserve">H4</t>
  </si>
  <si>
    <t xml:space="preserve">06 — ผลลัพธ์ระยะยาวของพื้นที่จัดเก็บ (Storage Long-term Projection)</t>
  </si>
  <si>
    <t xml:space="preserve">ต่อ 1 instance ของเครื่องมือ — คูณจำนวน instance และรวมตาม VM ที่ชีท 04</t>
  </si>
  <si>
    <t xml:space="preserve">Install (GB)</t>
  </si>
  <si>
    <t xml:space="preserve">Retention
(วัน)</t>
  </si>
  <si>
    <t xml:space="preserve">รวม @12 ด.</t>
  </si>
  <si>
    <t xml:space="preserve">รวม @24 ด.</t>
  </si>
  <si>
    <t xml:space="preserve">รวม @36 ด.</t>
  </si>
  <si>
    <t xml:space="preserve">รวม @60 ด.</t>
  </si>
  <si>
    <t xml:space="preserve">ต้องจัดสรร @60 ด.</t>
  </si>
  <si>
    <t xml:space="preserve">ข้อควรทำเพื่อคุมการโต</t>
  </si>
  <si>
    <t xml:space="preserve">ตั้ง housekeeping (git gc) อัตโนมัติ + จำกัดขนาด artifact และ LFS</t>
  </si>
  <si>
    <t xml:space="preserve">ปริมาณข้อมูลน้อย ไม่ต้องมีนโยบายเฉพาะ — รวมอยู่ใน Disk OS ได้</t>
  </si>
  <si>
    <t xml:space="preserve">ตั้ง buildDiscarder(logRotator(numToKeepStr:'50', daysToKeepStr:'180'))</t>
  </si>
  <si>
    <t xml:space="preserve">ใช้ cleanWs() ทุกท้าย Pipeline และตั้ง Workspace Cleanup Plugin</t>
  </si>
  <si>
    <t xml:space="preserve">ตั้ง Housekeeping: ลบ snapshot ที่เก่ากว่า 30 วัน, เก็บเฉพาะ analysis ของ branch หลัก</t>
  </si>
  <si>
    <t xml:space="preserve">ตั้ง partition ตารางที่โตเร็วเป็นรายเดือน + archive ไป MinIO เมื่อเกิน 1 ปี (Audit Trail ภาครัฐต้องเก็บ 7 ปีแต่ไม่จำเป็นต้องอยู่ใน DB หลัก)</t>
  </si>
  <si>
    <t xml:space="preserve">ตั้ง cron `docker system prune -af --filter until=336h` และจำกัด BuildKit cache ด้วย --max-used-space</t>
  </si>
  <si>
    <t xml:space="preserve">เก็บเฉพาะไฟล์รายงาน (HTML/JSON) ไม่เก็บ session file (.session) ที่ใหญ่หลาย GB</t>
  </si>
  <si>
    <t xml:space="preserve">ตั้ง Tag Retention Policy (เก็บ 10 tag ล่าสุดต่อ repo) + เปิด Garbage Collection รายสัปดาห์</t>
  </si>
  <si>
    <t xml:space="preserve">ตั้ง Object Lifecycle: ลบ artifact ที่ไม่ใช่ release เมื่อครบ 30-90 วัน; เปิด Versioning เฉพาะ bucket ที่จำเป็น เพราะ version เก่ากินที่เท่าตัว</t>
  </si>
  <si>
    <t xml:space="preserve">ตั้ง ILM Policy: hot 7 วัน -&gt; warm 30 วัน -&gt; delete ที่ 90 วัน (ตามมาตรฐานขั้นต่ำ 2566); เปิด best_compression; แยก index ต่อวันเพื่อลบเป็นก้อน</t>
  </si>
  <si>
    <t xml:space="preserve">ตั้ง ISM Policy บน Wazuh Indexer + ปิด rule ที่สร้าง event มากเกินจำเป็น</t>
  </si>
  <si>
    <t xml:space="preserve">ปรับ rule ให้แคบก่อน production ไม่งั้น event flood ทำให้ Elasticsearch โตเกินประเมิน</t>
  </si>
  <si>
    <t xml:space="preserve">ตั้ง --storage.tsdb.retention.time=90d และลด scrape_interval ของ metric ที่ไม่สำคัญ; ถ้าต้องเก็บนานให้ส่งต่อ VictoriaMetrics/Thanos</t>
  </si>
  <si>
    <t xml:space="preserve">ใช้ incremental + dedup, กำหนด GFS (Grandfather-Father-Son) แทนการเก็บ full ทุกวัน</t>
  </si>
  <si>
    <t xml:space="preserve">ตั้ง artifact retention ต่อ experiment + ย้าย artifact เก่าไป cold storage</t>
  </si>
  <si>
    <t xml:space="preserve">เก็บเฉพาะ checkpoint ที่ดีที่สุดและ checkpoint สุดท้าย ลบ intermediate ที่เหลือ</t>
  </si>
  <si>
    <t xml:space="preserve">ย้ายไฟล์เก่ากว่า 90 วันไป MinIO แล้วเก็บเฉพาะ pointer</t>
  </si>
  <si>
    <t xml:space="preserve">รวมทุกเครื่องมือ (กรณีติดตั้งครบทุกตัว)</t>
  </si>
  <si>
    <t xml:space="preserve">07 — เมทริกซ์ Compliance: ข้อกำหนด -&gt; Capability -&gt; ผลตรวจ</t>
  </si>
  <si>
    <t xml:space="preserve">สถานะคำนวณจากเครื่องมือที่เลือกไว้ในชีท 03 (ผ่านชีท 08)</t>
  </si>
  <si>
    <t xml:space="preserve">rule_id</t>
  </si>
  <si>
    <t xml:space="preserve">มาตรฐาน</t>
  </si>
  <si>
    <t xml:space="preserve">ขอบเขต</t>
  </si>
  <si>
    <t xml:space="preserve">ระดับบังคับ</t>
  </si>
  <si>
    <t xml:space="preserve">ข้อกำหนด</t>
  </si>
  <si>
    <t xml:space="preserve">อ้างอิง</t>
  </si>
  <si>
    <t xml:space="preserve">Capability ที่ต้องมี</t>
  </si>
  <si>
    <t xml:space="preserve">สถานะ</t>
  </si>
  <si>
    <t xml:space="preserve">Capability ที่ยังขาด</t>
  </si>
  <si>
    <t xml:space="preserve">CYBER2562-R1</t>
  </si>
  <si>
    <t xml:space="preserve">CYBER2562</t>
  </si>
  <si>
    <t xml:space="preserve">ไทย</t>
  </si>
  <si>
    <t xml:space="preserve">บังคับ</t>
  </si>
  <si>
    <t xml:space="preserve">ต้องประเมินความเสี่ยงเชิงเทคนิคและตรวจสอบระบบ (Audit) เป็นประจำ</t>
  </si>
  <si>
    <t xml:space="preserve">ม.54-57</t>
  </si>
  <si>
    <t xml:space="preserve">vapt, audit_trail, sast, dast</t>
  </si>
  <si>
    <t xml:space="preserve">CYBER2562-R2</t>
  </si>
  <si>
    <t xml:space="preserve">ต้องมีระบบเฝ้าระวังภัยคุกคามและรายงานเหตุการณ์ต่อ สกมช./ThaiCERT ได้ทันที</t>
  </si>
  <si>
    <t xml:space="preserve">ม.56-57</t>
  </si>
  <si>
    <t xml:space="preserve">siem_alert, log_mgmt, notify, monitoring</t>
  </si>
  <si>
    <t xml:space="preserve">CYBER2562-R3</t>
  </si>
  <si>
    <t xml:space="preserve">บังคับเมื่อผลกระทบสูง</t>
  </si>
  <si>
    <t xml:space="preserve">ระบบ CII ต้องมีแผนความต่อเนื่องและการกู้คืนระบบ</t>
  </si>
  <si>
    <t xml:space="preserve">ม.3, ม.62</t>
  </si>
  <si>
    <t xml:space="preserve">backup_dr, deploy_strategy</t>
  </si>
  <si>
    <t xml:space="preserve">PDPA-R1</t>
  </si>
  <si>
    <t xml:space="preserve">PDPA2562</t>
  </si>
  <si>
    <t xml:space="preserve">มาตรการรักษาความมั่นคงปลอดภัยที่เหมาะสม: การเข้ารหัส การควบคุมสิทธิ์ การบันทึกเหตุการณ์</t>
  </si>
  <si>
    <t xml:space="preserve">ม.37</t>
  </si>
  <si>
    <t xml:space="preserve">secret_mgmt, iam_mfa, log_mgmt, tls_check</t>
  </si>
  <si>
    <t xml:space="preserve">PDPA-R2</t>
  </si>
  <si>
    <t xml:space="preserve">แจ้งเหตุละเมิดต่อ PDPC ภายใน 72 ชั่วโมง — ต้องตรวจจับได้เร็วพอ</t>
  </si>
  <si>
    <t xml:space="preserve">ม.37(4)</t>
  </si>
  <si>
    <t xml:space="preserve">siem_alert, log_mgmt, notify</t>
  </si>
  <si>
    <t xml:space="preserve">ห้ามข้อมูลส่วนบุคคล/Credential รั่วไหลไปกับ Source Code หรือ Log</t>
  </si>
  <si>
    <t xml:space="preserve">secret_scan, secret_mgmt</t>
  </si>
  <si>
    <t xml:space="preserve">MIN2566</t>
  </si>
  <si>
    <t xml:space="preserve">ต้องเก็บ Log จราจรคอมพิวเตอร์อย่างน้อย 90 วัน และตรวจสอบย้อนหลังได้</t>
  </si>
  <si>
    <t xml:space="preserve">Log Management</t>
  </si>
  <si>
    <t xml:space="preserve">log_mgmt, audit_trail</t>
  </si>
  <si>
    <t xml:space="preserve">MIN2566-R2</t>
  </si>
  <si>
    <t xml:space="preserve">ต้องมีแผนตรวจสอบความมั่นคงปลอดภัย (Audit Plan) และควบคุมการเชื่อมต่อระยะไกล</t>
  </si>
  <si>
    <t xml:space="preserve">ระดับกลาง</t>
  </si>
  <si>
    <t xml:space="preserve">audit_trail, iam_mfa, config_mgmt</t>
  </si>
  <si>
    <t xml:space="preserve">MIN2566-R3</t>
  </si>
  <si>
    <t xml:space="preserve">ระดับสูงต้องทำ VAPT, บริหารผู้ให้บริการภายนอก (Third Party) และแผนกู้คืนระบบ</t>
  </si>
  <si>
    <t xml:space="preserve">ระดับสูง</t>
  </si>
  <si>
    <t xml:space="preserve">vapt, dast, sbom, sca, backup_dr</t>
  </si>
  <si>
    <t xml:space="preserve">ทบทวนการจัดระดับผลกระทบทุก 3 ปี + ซ้อมแผน BCP ทุกปี</t>
  </si>
  <si>
    <t xml:space="preserve">Review &amp; Improve</t>
  </si>
  <si>
    <t xml:space="preserve">backup_dr, audit_trail</t>
  </si>
  <si>
    <t xml:space="preserve">MSPR11</t>
  </si>
  <si>
    <t xml:space="preserve">เว็บไซต์ต้องผ่าน WCAG 2.1 หรือ 2.2 ระดับ AA (Web Accessibility)</t>
  </si>
  <si>
    <t xml:space="preserve">Web Accessibility</t>
  </si>
  <si>
    <t xml:space="preserve">accessibility</t>
  </si>
  <si>
    <t xml:space="preserve">ต้องใช้ HTTPS ด้วย TLS 1.2 หรือ 1.3 เท่านั้น ห้าม Self-signed Certificate</t>
  </si>
  <si>
    <t xml:space="preserve">ความมั่นคงปลอดภัยทางเทคนิค</t>
  </si>
  <si>
    <t xml:space="preserve">tls_check</t>
  </si>
  <si>
    <t xml:space="preserve">MSPR11-R3</t>
  </si>
  <si>
    <t xml:space="preserve">แนะนำ</t>
  </si>
  <si>
    <t xml:space="preserve">แนะนำติดตั้ง WAF และมีแผนสำรองข้อมูล</t>
  </si>
  <si>
    <t xml:space="preserve">มาตรการทางเทคนิค</t>
  </si>
  <si>
    <t xml:space="preserve">waf, backup_dr</t>
  </si>
  <si>
    <t xml:space="preserve">CLOUD2567-R1</t>
  </si>
  <si>
    <t xml:space="preserve">CLOUD2567</t>
  </si>
  <si>
    <t xml:space="preserve">ควบคุมการตั้งค่าโครงสร้างพื้นฐานคลาวด์ตามหลัก Least Privilege และตรวจ Misconfiguration</t>
  </si>
  <si>
    <t xml:space="preserve">Cloud Infra Security</t>
  </si>
  <si>
    <t xml:space="preserve">iac_scan, cspm, iam_mfa</t>
  </si>
  <si>
    <t xml:space="preserve">CLOUD2567-R2</t>
  </si>
  <si>
    <t xml:space="preserve">ข้อมูลส่วนบุคคลต้องอยู่ระดับผลกระทบ Medium ขึ้นไป + เข้ารหัส + เฝ้าระวังต่อเนื่อง</t>
  </si>
  <si>
    <t xml:space="preserve">Shared Responsibility</t>
  </si>
  <si>
    <t xml:space="preserve">secret_mgmt, monitoring, log_mgmt</t>
  </si>
  <si>
    <t xml:space="preserve">WEB2568-R1</t>
  </si>
  <si>
    <t xml:space="preserve">WEB2568</t>
  </si>
  <si>
    <t xml:space="preserve">บังคับ MFA สำหรับบัญชีสำคัญ + TLS 1.2 ขึ้นไป + ติดตั้ง WAF</t>
  </si>
  <si>
    <t xml:space="preserve">Website Security Operation</t>
  </si>
  <si>
    <t xml:space="preserve">iam_mfa, tls_check, waf</t>
  </si>
  <si>
    <t xml:space="preserve">WEB2568-R2</t>
  </si>
  <si>
    <t xml:space="preserve">ต้องมีการบันทึกและตรวจสอบเหตุการณ์ (Logging &amp; Monitoring)</t>
  </si>
  <si>
    <t xml:space="preserve">log_mgmt, siem_alert, monitoring</t>
  </si>
  <si>
    <t xml:space="preserve">WEB2568-R3</t>
  </si>
  <si>
    <t xml:space="preserve">ต้องทำการทดสอบเจาะระบบ (Penetration Testing) และป้องกันช่องโหว่ตาม Secure Coding</t>
  </si>
  <si>
    <t xml:space="preserve">dast, api_security, sast, vapt</t>
  </si>
  <si>
    <t xml:space="preserve">WEB2568-R4</t>
  </si>
  <si>
    <t xml:space="preserve">ประเมินตนเอง (Self-Assessment) อย่างน้อยปีละ 1 ครั้ง + แผนรับมือเหตุการณ์</t>
  </si>
  <si>
    <t xml:space="preserve">Website Security Governance</t>
  </si>
  <si>
    <t xml:space="preserve">audit_trail, notify, backup_dr</t>
  </si>
  <si>
    <t xml:space="preserve">OWASP-A01</t>
  </si>
  <si>
    <t xml:space="preserve">OWASP2025</t>
  </si>
  <si>
    <t xml:space="preserve">สากล</t>
  </si>
  <si>
    <t xml:space="preserve">A01 Broken Access Control (รวม SSRF): ตรวจ authorization ทุก request, deny-by-default</t>
  </si>
  <si>
    <t xml:space="preserve">A01</t>
  </si>
  <si>
    <t xml:space="preserve">sast, api_security, dast</t>
  </si>
  <si>
    <t xml:space="preserve">OWASP-A02</t>
  </si>
  <si>
    <t xml:space="preserve">A02 Security Misconfiguration: Hardening baseline + Configuration/IaC scanning</t>
  </si>
  <si>
    <t xml:space="preserve">A02</t>
  </si>
  <si>
    <t xml:space="preserve">iac_scan, config_mgmt, container_scan, cspm</t>
  </si>
  <si>
    <t xml:space="preserve">OWASP-A03</t>
  </si>
  <si>
    <t xml:space="preserve">A03 Software Supply Chain Failures: SBOM + SCA + Private Registry + Artifact Signing</t>
  </si>
  <si>
    <t xml:space="preserve">A03 / NIST SP 800-161</t>
  </si>
  <si>
    <t xml:space="preserve">sbom, sca, registry, artifact_sign</t>
  </si>
  <si>
    <t xml:space="preserve">OWASP-A04</t>
  </si>
  <si>
    <t xml:space="preserve">A04 Cryptographic Failures: TLS 1.2+/1.3, AES-256, Secret Manager, Key Rotation</t>
  </si>
  <si>
    <t xml:space="preserve">A04</t>
  </si>
  <si>
    <t xml:space="preserve">tls_check, secret_mgmt</t>
  </si>
  <si>
    <t xml:space="preserve">OWASP-A05</t>
  </si>
  <si>
    <t xml:space="preserve">A05 Injection: parameterized query, allowlist validation, sanitize input/output</t>
  </si>
  <si>
    <t xml:space="preserve">A05</t>
  </si>
  <si>
    <t xml:space="preserve">sast, dast</t>
  </si>
  <si>
    <t xml:space="preserve">OWASP-A06</t>
  </si>
  <si>
    <t xml:space="preserve">A06 Insecure Design: Threat Modeling (STRIDE/PASTA) + Security Architecture Review</t>
  </si>
  <si>
    <t xml:space="preserve">A06</t>
  </si>
  <si>
    <t xml:space="preserve">code_quality, quality_gate</t>
  </si>
  <si>
    <t xml:space="preserve">OWASP-A07</t>
  </si>
  <si>
    <t xml:space="preserve">A07 Authentication Failures: MFA, password hashing (Argon2/bcrypt), rate limiting</t>
  </si>
  <si>
    <t xml:space="preserve">A07 / NIST SP 800-63B</t>
  </si>
  <si>
    <t xml:space="preserve">iam_mfa, api_security</t>
  </si>
  <si>
    <t xml:space="preserve">OWASP-A08</t>
  </si>
  <si>
    <t xml:space="preserve">A08 Software/Data Integrity Failures: code signing, artifact verification, pin version</t>
  </si>
  <si>
    <t xml:space="preserve">A08 / NIST SSDF</t>
  </si>
  <si>
    <t xml:space="preserve">artifact_sign, sbom, registry</t>
  </si>
  <si>
    <t xml:space="preserve">OWASP-A09</t>
  </si>
  <si>
    <t xml:space="preserve">A09 Logging &amp; Alerting Failures: centralized logging + SIEM + alert rules</t>
  </si>
  <si>
    <t xml:space="preserve">A09</t>
  </si>
  <si>
    <t xml:space="preserve">log_mgmt, siem_alert, monitoring, audit_trail</t>
  </si>
  <si>
    <t xml:space="preserve">OWASP-A10</t>
  </si>
  <si>
    <t xml:space="preserve">A10 Mishandling of Exceptional Conditions: fail-safe defaults, sanitize error message</t>
  </si>
  <si>
    <t xml:space="preserve">A10</t>
  </si>
  <si>
    <t xml:space="preserve">sast, code_quality</t>
  </si>
  <si>
    <t xml:space="preserve">OWASP-PQC</t>
  </si>
  <si>
    <t xml:space="preserve">Post-Quantum: ทำ Crypto Inventory (CBOM) และออกแบบ Crypto-Agility</t>
  </si>
  <si>
    <t xml:space="preserve">NIST PQC / CSWP 39</t>
  </si>
  <si>
    <t xml:space="preserve">crypto_agility, tls_check</t>
  </si>
  <si>
    <t xml:space="preserve">CORE-R1</t>
  </si>
  <si>
    <t xml:space="preserve">ISO27001</t>
  </si>
  <si>
    <t xml:space="preserve">โค้ดต้องผ่าน Code Review และ Status Check ก่อน Merge เข้า main (บังคับ 2+ Approvers ในภาครัฐ)</t>
  </si>
  <si>
    <t xml:space="preserve">A.14 Secure Development</t>
  </si>
  <si>
    <t xml:space="preserve">git_scm, branch_protection, quality_gate</t>
  </si>
  <si>
    <t xml:space="preserve">NIST</t>
  </si>
  <si>
    <t xml:space="preserve">Pipeline ต้องอัตโนมัติและตรวจสอบย้อนหลังได้ 100% (Traceability)</t>
  </si>
  <si>
    <t xml:space="preserve">SSDF PS/PW</t>
  </si>
  <si>
    <t xml:space="preserve">pipeline, webhook, audit_trail, version_tag</t>
  </si>
  <si>
    <t xml:space="preserve">ต้องมี Unit/Integration Test และ Coverage &gt; 80% ก่อนขึ้นระบบ (ภาครัฐ)</t>
  </si>
  <si>
    <t xml:space="preserve">A.14.2.8</t>
  </si>
  <si>
    <t xml:space="preserve">unit_test, integration_test, code_quality</t>
  </si>
  <si>
    <t xml:space="preserve">ต้องทดสอบ Performance เทียบ SLA ก่อน Go-Live</t>
  </si>
  <si>
    <t xml:space="preserve">A.12.1.3 Capacity Management</t>
  </si>
  <si>
    <t xml:space="preserve">CORE-R5</t>
  </si>
  <si>
    <t xml:space="preserve">Zero Trust: micro-segmentation + ตรวจสอบสิทธิ์ทุกการเรียกใช้ + Runtime Enforcement</t>
  </si>
  <si>
    <t xml:space="preserve">SP 800-207</t>
  </si>
  <si>
    <t xml:space="preserve">runtime_security, iam_mfa, orchestration</t>
  </si>
  <si>
    <t xml:space="preserve">คะแนน Compliance</t>
  </si>
  <si>
    <t xml:space="preserve">จำนวนข้อที่ไม่ผ่าน</t>
  </si>
  <si>
    <t xml:space="preserve">รายชื่อกฎหมาย/มาตรฐานที่อ้างอิง</t>
  </si>
  <si>
    <t xml:space="preserve">มาตรฐานความมั่นคงปลอดภัยระบบคลาวด์ พ.ศ. 2567</t>
  </si>
  <si>
    <t xml:space="preserve">Cloud First, Shared Responsibility, ISO 27001/27017/27018/27701, CSA STAR</t>
  </si>
  <si>
    <t xml:space="preserve">พ.ร.บ. การรักษาความมั่นคงปลอดภัยไซเบอร์ พ.ศ. 2562</t>
  </si>
  <si>
    <t xml:space="preserve">หน่วยงานรัฐ + CII 7 ภาคส่วน (ม.3, ม.54-57, ม.62/65/66)</t>
  </si>
  <si>
    <t xml:space="preserve">มาตรฐานขั้นต่ำของข้อมูลหรือระบบสารสนเทศ พ.ศ. 2566</t>
  </si>
  <si>
    <t xml:space="preserve">จัดระดับผลกระทบ ต่ำ/กลาง/สูง แล้วบังคับมาตรการตามระดับ</t>
  </si>
  <si>
    <t xml:space="preserve">มสพร. 11-2566 มาตรฐานเว็บไซต์ภาครัฐ เวอร์ชัน 3.0</t>
  </si>
  <si>
    <t xml:space="preserve">เว็บไซต์ .go.th, WCAG 2.1/2.2 AA, TLS 1.2/1.3, Open Data</t>
  </si>
  <si>
    <t xml:space="preserve">พ.ร.บ. คุ้มครองข้อมูลส่วนบุคคล พ.ศ. 2562 (PDPA)</t>
  </si>
  <si>
    <t xml:space="preserve">ทุกองค์กรที่ประมวลผลข้อมูลส่วนบุคคล (ม.19, 24-26, 37, 39)</t>
  </si>
  <si>
    <t xml:space="preserve">มาตรฐานการรักษาความมั่นคงปลอดภัยเว็บไซต์ พ.ศ. 2568</t>
  </si>
  <si>
    <t xml:space="preserve">Website Security Governance + Operation (WAF, MFA, TLS, Pentest, Secure Coding)</t>
  </si>
  <si>
    <t xml:space="preserve">ISO/IEC 27001 (Annex A)</t>
  </si>
  <si>
    <t xml:space="preserve">ISMS Control Set — ใช้อ้างอิงร่วมทุกมาตรฐานไทย</t>
  </si>
  <si>
    <t xml:space="preserve">NIST SSDF (SP 800-218), SP 800-161, SP 800-207, SP 800-63B</t>
  </si>
  <si>
    <t xml:space="preserve">Secure SDLC, Supply Chain, Zero Trust, Digital Identity</t>
  </si>
  <si>
    <t xml:space="preserve">OWASP Top 10:2025 + Post-Quantum Threat</t>
  </si>
  <si>
    <t xml:space="preserve">A01-A10 + Crypto-Agility</t>
  </si>
  <si>
    <t xml:space="preserve">08 — เมทริกซ์เครื่องมือ x Capability</t>
  </si>
  <si>
    <t xml:space="preserve">1 = เครื่องมือนี้ตอบ capability นั้นได้ | ใช้เป็นฐานของการตรวจ compliance ในชีท 07</t>
  </si>
  <si>
    <t xml:space="preserve">git_scm</t>
  </si>
  <si>
    <t xml:space="preserve">webhook</t>
  </si>
  <si>
    <t xml:space="preserve">branch_protection</t>
  </si>
  <si>
    <t xml:space="preserve">pipeline</t>
  </si>
  <si>
    <t xml:space="preserve">sca</t>
  </si>
  <si>
    <t xml:space="preserve">image_build</t>
  </si>
  <si>
    <t xml:space="preserve">container_scan</t>
  </si>
  <si>
    <t xml:space="preserve">unit_test</t>
  </si>
  <si>
    <t xml:space="preserve">dast</t>
  </si>
  <si>
    <t xml:space="preserve">api_security</t>
  </si>
  <si>
    <t xml:space="preserve">registry</t>
  </si>
  <si>
    <t xml:space="preserve">version_tag</t>
  </si>
  <si>
    <t xml:space="preserve">siem_alert</t>
  </si>
  <si>
    <t xml:space="preserve">quality_gate</t>
  </si>
  <si>
    <t xml:space="preserve">deploy_strategy</t>
  </si>
  <si>
    <t xml:space="preserve">orchestration</t>
  </si>
  <si>
    <t xml:space="preserve">runtime_security</t>
  </si>
  <si>
    <t xml:space="preserve">secret_mgmt</t>
  </si>
  <si>
    <t xml:space="preserve">config_mgmt</t>
  </si>
  <si>
    <t xml:space="preserve">waf</t>
  </si>
  <si>
    <t xml:space="preserve">cspm</t>
  </si>
  <si>
    <t xml:space="preserve">iam_mfa</t>
  </si>
  <si>
    <t xml:space="preserve">crypto_agility</t>
  </si>
  <si>
    <t xml:space="preserve">vapt</t>
  </si>
  <si>
    <t xml:space="preserve">notify</t>
  </si>
  <si>
    <t xml:space="preserve">เลือกใน VM ใดก็ได้</t>
  </si>
  <si>
    <t xml:space="preserve">ครอบคลุมโดยเครื่องมือที่เลือกไว้ในชีท 03? (1=ใช่)</t>
  </si>
  <si>
    <t xml:space="preserve">09 — เปรียบเทียบประเภทโครงการ 5 แบบ</t>
  </si>
  <si>
    <t xml:space="preserve">ใช้เลือก preset ตั้งต้นก่อนปรับรายละเอียด</t>
  </si>
  <si>
    <t xml:space="preserve">profile</t>
  </si>
  <si>
    <t xml:space="preserve">ประเภทโครงการ</t>
  </si>
  <si>
    <t xml:space="preserve">ระดับ
ผลกระทบ</t>
  </si>
  <si>
    <t xml:space="preserve">Security</t>
  </si>
  <si>
    <t xml:space="preserve">เกรดเครื่องมือ
ที่แนะนำ</t>
  </si>
  <si>
    <t xml:space="preserve">เวลา Pipeline
ต่อรอบ</t>
  </si>
  <si>
    <t xml:space="preserve">ต้นทุน/ปี (บาท)</t>
  </si>
  <si>
    <t xml:space="preserve">Log
Retention</t>
  </si>
  <si>
    <t xml:space="preserve">Audit
Retention</t>
  </si>
  <si>
    <t xml:space="preserve">มาตรฐานที่ต้องปฏิบัติ</t>
  </si>
  <si>
    <t xml:space="preserve">ข้อควรระวัง</t>
  </si>
  <si>
    <t xml:space="preserve">gov</t>
  </si>
  <si>
    <t xml:space="preserve">ภาครัฐ / CII</t>
  </si>
  <si>
    <t xml:space="preserve">high</t>
  </si>
  <si>
    <t xml:space="preserve">สูงสุด</t>
  </si>
  <si>
    <t xml:space="preserve">6-12 ชั่วโมง/รอบ</t>
  </si>
  <si>
    <t xml:space="preserve">5,250,000 - 17,500,000+</t>
  </si>
  <si>
    <t xml:space="preserve">90 วัน</t>
  </si>
  <si>
    <t xml:space="preserve">2555 วัน</t>
  </si>
  <si>
    <t xml:space="preserve">CYBER2562, PDPA2562, MIN2566, MSPR11, WEB2568, OWASP2025</t>
  </si>
  <si>
    <t xml:space="preserve">On-premise/Air-gapped, ห้าม GPL/AGPL, Critical = 0, Coverage &gt; 80%, เก็บ Audit Trail 7+ ปี</t>
  </si>
  <si>
    <t xml:space="preserve">enterprise</t>
  </si>
  <si>
    <t xml:space="preserve">เอกชน / Enterprise</t>
  </si>
  <si>
    <t xml:space="preserve">medium</t>
  </si>
  <si>
    <t xml:space="preserve">สูง</t>
  </si>
  <si>
    <t xml:space="preserve">mixed</t>
  </si>
  <si>
    <t xml:space="preserve">60-95 นาที/รอบ</t>
  </si>
  <si>
    <t xml:space="preserve">1,050,000 - 5,250,000</t>
  </si>
  <si>
    <t xml:space="preserve">365 วัน</t>
  </si>
  <si>
    <t xml:space="preserve">PDPA2562, OWASP2025, ISO27001, CLOUD2567</t>
  </si>
  <si>
    <t xml:space="preserve">Cloud + OSS ผสมได้, Canary/A-B Testing, Auto-remediation ผ่าน PR</t>
  </si>
  <si>
    <t xml:space="preserve">internal</t>
  </si>
  <si>
    <t xml:space="preserve">Internal Dev / R&amp;D</t>
  </si>
  <si>
    <t xml:space="preserve">low</t>
  </si>
  <si>
    <t xml:space="preserve">ปานกลาง</t>
  </si>
  <si>
    <t xml:space="preserve">22-35 นาที/รอบ</t>
  </si>
  <si>
    <t xml:space="preserve">0 - 175,000</t>
  </si>
  <si>
    <t xml:space="preserve">30 วัน</t>
  </si>
  <si>
    <t xml:space="preserve">ใช้ OSS เกือบทั้งหมด, Self-hosted, Monitoring พื้นฐาน</t>
  </si>
  <si>
    <t xml:space="preserve">startup</t>
  </si>
  <si>
    <t xml:space="preserve">Startup / Fast-paced</t>
  </si>
  <si>
    <t xml:space="preserve">พื้นฐาน</t>
  </si>
  <si>
    <t xml:space="preserve">saas</t>
  </si>
  <si>
    <t xml:space="preserve">15-25 นาที/รอบ</t>
  </si>
  <si>
    <t xml:space="preserve">0 - 84,000</t>
  </si>
  <si>
    <t xml:space="preserve">14 วัน</t>
  </si>
  <si>
    <t xml:space="preserve">Managed/Serverless, Zero maintenance, เพิ่ม Security เมื่อ Scale</t>
  </si>
  <si>
    <t xml:space="preserve">aiml</t>
  </si>
  <si>
    <t xml:space="preserve">AI/ML Engineering</t>
  </si>
  <si>
    <t xml:space="preserve">สูง (Data + Model)</t>
  </si>
  <si>
    <t xml:space="preserve">70-135 นาที/รอบ (+Training)</t>
  </si>
  <si>
    <t xml:space="preserve">1,750,000 - 7,000,000+</t>
  </si>
  <si>
    <t xml:space="preserve">730 วัน</t>
  </si>
  <si>
    <t xml:space="preserve">PDPA2562, OWASP2025, ISO27001</t>
  </si>
  <si>
    <t xml:space="preserve">ต้องมี GPU Scheduling, Model Registry, Data Versioning, Drift Detection</t>
  </si>
  <si>
    <t xml:space="preserve">10 — ผังเครื่องอ้างอิง (Reference Architectures)</t>
  </si>
  <si>
    <t xml:space="preserve">ผังตั้งต้นแบบทั่วไป ไม่ผูกกับโครงการใด — คัดลอกรายการเครื่องมือไปติ๊กในชีท 03 ได้</t>
  </si>
  <si>
    <t xml:space="preserve">ผัง</t>
  </si>
  <si>
    <t xml:space="preserve">คำอธิบายผัง</t>
  </si>
  <si>
    <t xml:space="preserve">เครื่อง (Host)</t>
  </si>
  <si>
    <t xml:space="preserve">vCPU
ที่ควรขอ</t>
  </si>
  <si>
    <t xml:space="preserve">RAM
ที่ควรขอ</t>
  </si>
  <si>
    <t xml:space="preserve">Disk OS
ที่ควรขอ</t>
  </si>
  <si>
    <t xml:space="preserve">Disk Data
ที่ควรขอ</t>
  </si>
  <si>
    <t xml:space="preserve">รายการ tool_id ที่ติดตั้งบนเครื่องนี้</t>
  </si>
  <si>
    <t xml:space="preserve">ผัง 2 เครื่อง — ขนาดเล็ก / UAT / Internal Dev</t>
  </si>
  <si>
    <t xml:space="preserve">เหมาะกับทีม 5-15 คน, 1-3 แอปพลิเคชัน, ~10 builds/วัน — ยอมรับความเสี่ยงที่ Build กับ Log แย่งทรัพยากรกันได้ในบางช่วง</t>
  </si>
  <si>
    <t xml:space="preserve">Control (ขนาดเล็ก): Git, Pipeline, SAST และฐานข้อมูลของเครื่องมือรวมในเครื่องเดียว</t>
  </si>
  <si>
    <t xml:space="preserve">gitea, jenkins-master, sonarqube, postgresql-tools, nginx-gateway, vault, filebeat</t>
  </si>
  <si>
    <t xml:space="preserve">WORKER-STORE-01</t>
  </si>
  <si>
    <t xml:space="preserve">Worker (ขนาดเล็ก): Build, Test, Registry, Storage, Log และ Scan รวมในเครื่องเดียว</t>
  </si>
  <si>
    <t xml:space="preserve">jenkins-agent, maven-gradle, docker-buildkit, unit-test-runner, semgrep, gitleaks, trivy, cosign, syft, minio, elasticsearch, kibana, owasp-zap, locust, filebeat, testcontainers, prometheus, grafana, ansible-chef, prowler, argocd</t>
  </si>
  <si>
    <t xml:space="preserve">รวมทั้งผัง</t>
  </si>
  <si>
    <t xml:space="preserve">เครื่องมือไม่ซ้ำ 27 รายการ · คะแนน Compliance ตามประเภทโครงการ internal = 100.0%</t>
  </si>
  <si>
    <t xml:space="preserve">ผัง 4 เครื่อง — มาตรฐาน (เอกชน / Enterprise)</t>
  </si>
  <si>
    <t xml:space="preserve">แยกงานที่รันค้าง 24/7 ออกจากงาน Build ที่ burst และแยกที่เก็บข้อมูลออกจาก Compute ทำให้ประเมินทรัพยากรและขยายได้ตรงจุด</t>
  </si>
  <si>
    <t xml:space="preserve">gitea, jenkins-master, sonarqube, postgresql-tools, opa-conftest, filebeat, nginx-gateway, modsecurity, keycloak</t>
  </si>
  <si>
    <t xml:space="preserve">jenkins-agent, maven-gradle, docker-buildkit, unit-test-runner, testcontainers, semgrep, gitleaks, trivy, checkov, cosign, syft, linters, filebeat, owasp-zap, nuclei, dependency-check, locust, playwright-a11y, testssl, prowler</t>
  </si>
  <si>
    <t xml:space="preserve">harbor, minio, elasticsearch, logstash, kibana, vault, redis, filebeat</t>
  </si>
  <si>
    <t xml:space="preserve">k3s-control, argocd, prometheus, grafana, falco, ansible-chef, velero-restic, filebeat</t>
  </si>
  <si>
    <t xml:space="preserve">เครื่องมือไม่ซ้ำ 42 รายการ · คะแนน Compliance ตามประเภทโครงการ enterprise = 100.0%</t>
  </si>
  <si>
    <t xml:space="preserve">ผัง 6 เครื่อง — ภาครัฐ / CII ครบตามมาตรฐานบังคับ</t>
  </si>
  <si>
    <t xml:space="preserve">On-premise หรือ Air-gapped, แยก Edge ที่มี WAF และ SSO ออกมา และแยกเครื่อง Security/Performance Test ไม่ให้ทับเวลากับ Pipeline หลัก</t>
  </si>
  <si>
    <t xml:space="preserve">nginx-gateway, modsecurity, keycloak, filebeat</t>
  </si>
  <si>
    <t xml:space="preserve">gitea, jenkins-master, sonarqube, postgresql-tools, opa-conftest, filebeat</t>
  </si>
  <si>
    <t xml:space="preserve">jenkins-agent, maven-gradle, docker-buildkit, unit-test-runner, testcontainers, semgrep, gitleaks, trivy, checkov, cosign, syft, linters, filebeat</t>
  </si>
  <si>
    <t xml:space="preserve">owasp-zap, nuclei, dependency-check, playwright-a11y, testssl, locust, prowler, filebeat</t>
  </si>
  <si>
    <t xml:space="preserve">เครื่องมือไม่ซ้ำ 42 รายการ · คะแนน Compliance ตามประเภทโครงการ gov = 100.0%</t>
  </si>
  <si>
    <t xml:space="preserve">ผัง 5 เครื่อง — AI/ML Engineering</t>
  </si>
  <si>
    <t xml:space="preserve">เพิ่ม Model Registry และ Evaluation แยกจาก Pipeline ปกติ และแยก Training Node ที่ต้องมี GPU ออกไป (สภาพแวดล้อมหลายแห่งไม่รองรับ GPU จึงต้องระบุผู้รับผิดชอบใน TOR)</t>
  </si>
  <si>
    <t xml:space="preserve">gitea, jenkins-master, sonarqube, postgresql-tools, opa-conftest, filebeat, nginx-gateway, keycloak</t>
  </si>
  <si>
    <t xml:space="preserve">jenkins-agent, maven-gradle, docker-buildkit, unit-test-runner, testcontainers, semgrep, gitleaks, trivy, checkov, cosign, syft, linters, filebeat, owasp-zap, nuclei, dependency-check, locust, prowler</t>
  </si>
  <si>
    <t xml:space="preserve">ML-REGISTRY-01</t>
  </si>
  <si>
    <t xml:space="preserve">ML Registry &amp; Evaluation: Experiment Tracking, Model Registry, Model/LLM Evaluation</t>
  </si>
  <si>
    <t xml:space="preserve">mlflow, llm-eval, minio, filebeat, elasticsearch, kibana, vault, testssl</t>
  </si>
  <si>
    <t xml:space="preserve">ML-TRAIN-01</t>
  </si>
  <si>
    <t xml:space="preserve">ML Training: Fine-tune / Train โมเดล (ต้องมี GPU)</t>
  </si>
  <si>
    <t xml:space="preserve">gpu-training, filebeat</t>
  </si>
  <si>
    <t xml:space="preserve">เครื่องมือไม่ซ้ำ 40 รายการ · คะแนน Compliance ตามประเภทโครงการ aiml = 100.0%</t>
  </si>
  <si>
    <t xml:space="preserve">ชุดเครื่องมือตามบทบาท (Role Bundle) ที่ใช้ประกอบผังข้างบน</t>
  </si>
  <si>
    <t xml:space="preserve">bundle</t>
  </si>
  <si>
    <t xml:space="preserve">จำนวน</t>
  </si>
  <si>
    <t xml:space="preserve">รายการ tool_id</t>
  </si>
  <si>
    <t xml:space="preserve">edge</t>
  </si>
  <si>
    <t xml:space="preserve">ci_control</t>
  </si>
  <si>
    <t xml:space="preserve">build_agent</t>
  </si>
  <si>
    <t xml:space="preserve">sec_test</t>
  </si>
  <si>
    <t xml:space="preserve">store_log</t>
  </si>
  <si>
    <t xml:space="preserve">deploy_mon</t>
  </si>
  <si>
    <t xml:space="preserve">small_control</t>
  </si>
  <si>
    <t xml:space="preserve">small_worker</t>
  </si>
  <si>
    <t xml:space="preserve">jenkins-agent, maven-gradle, docker-buildkit, unit-test-runner, semgrep, gitleaks, trivy, cosign, syft, minio, elasticsearch, kibana, owasp-zap, locust, filebeat</t>
  </si>
  <si>
    <t xml:space="preserve">ml_train</t>
  </si>
  <si>
    <t xml:space="preserve">ml_registry</t>
  </si>
  <si>
    <t xml:space="preserve">mlflow, llm-eval, minio, filebeat</t>
  </si>
  <si>
    <t xml:space="preserve">ค่า vCPU/RAM/Disk ข้างบนคำนวณด้วยโหมด realistic ที่ 36 เดือน Scale 1.0× เพื่อใช้เป็นจุดตั้งต้น — ค่าที่ต้องยื่นขอจริงให้ดูจากชีท 04 ซึ่งใช้โหมดและพารามิเตอร์ที่ตั้งไว้ในชีท 05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</si>
</sst>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General"/>
    <numFmt numFmtId="167" formatCode="#,##0.0"/>
    <numFmt numFmtId="168" formatCode="#,##0.00"/>
    <numFmt numFmtId="169" formatCode="#,##0"/>
    <numFmt numFmtId="170" formatCode="0.00"/>
    <numFmt numFmtId="171" formatCode="0.0%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Tahoma"/>
      <family val="0"/>
      <charset val="1"/>
    </font>
    <font>
      <sz val="11"/>
      <color rgb="FFED7D31"/>
      <name val="Tahoma"/>
      <family val="0"/>
      <charset val="1"/>
    </font>
    <font>
      <i val="true"/>
      <sz val="9"/>
      <color rgb="FF808080"/>
      <name val="Tahoma"/>
      <family val="0"/>
      <charset val="1"/>
    </font>
    <font>
      <b val="true"/>
      <sz val="12"/>
      <color rgb="FF1F3864"/>
      <name val="Tahoma"/>
      <family val="0"/>
      <charset val="1"/>
    </font>
    <font>
      <b val="true"/>
      <sz val="9"/>
      <color rgb="FFED7D31"/>
      <name val="Tahoma"/>
      <family val="0"/>
      <charset val="1"/>
    </font>
    <font>
      <sz val="9"/>
      <color rgb="FF404040"/>
      <name val="Tahoma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14"/>
      <color rgb="FF1F3864"/>
      <name val="Tahoma"/>
      <family val="0"/>
      <charset val="1"/>
    </font>
    <font>
      <b val="true"/>
      <sz val="9"/>
      <color rgb="FFFFFFFF"/>
      <name val="Tahoma"/>
      <family val="0"/>
      <charset val="1"/>
    </font>
    <font>
      <sz val="8"/>
      <color rgb="FF000000"/>
      <name val="Tahoma"/>
      <family val="0"/>
      <charset val="1"/>
    </font>
    <font>
      <b val="true"/>
      <sz val="8"/>
      <color rgb="FF008000"/>
      <name val="Tahoma"/>
      <family val="0"/>
      <charset val="1"/>
    </font>
    <font>
      <b val="true"/>
      <sz val="9"/>
      <color rgb="FF000000"/>
      <name val="Tahoma"/>
      <family val="0"/>
      <charset val="1"/>
    </font>
    <font>
      <i val="true"/>
      <sz val="8"/>
      <color rgb="FFFF0000"/>
      <name val="Tahoma"/>
      <family val="0"/>
      <charset val="1"/>
    </font>
    <font>
      <b val="true"/>
      <sz val="10"/>
      <color rgb="FF1F3864"/>
      <name val="Tahoma"/>
      <family val="0"/>
      <charset val="1"/>
    </font>
    <font>
      <sz val="8"/>
      <color rgb="FF595959"/>
      <name val="Tahoma"/>
      <family val="0"/>
      <charset val="1"/>
    </font>
    <font>
      <sz val="9"/>
      <color rgb="FF000000"/>
      <name val="Tahoma"/>
      <family val="0"/>
      <charset val="1"/>
    </font>
    <font>
      <b val="true"/>
      <sz val="9"/>
      <color rgb="FF008000"/>
      <name val="Tahoma"/>
      <family val="0"/>
      <charset val="1"/>
    </font>
    <font>
      <i val="true"/>
      <sz val="8"/>
      <color rgb="FF808080"/>
      <name val="Tahoma"/>
      <family val="0"/>
      <charset val="1"/>
    </font>
    <font>
      <b val="true"/>
      <sz val="8"/>
      <color rgb="FFED7D31"/>
      <name val="Tahoma"/>
      <family val="0"/>
      <charset val="1"/>
    </font>
    <font>
      <sz val="8"/>
      <color rgb="FF008000"/>
      <name val="Tahoma"/>
      <family val="0"/>
      <charset val="1"/>
    </font>
    <font>
      <sz val="8"/>
      <color rgb="FF0000FF"/>
      <name val="Tahoma"/>
      <family val="0"/>
      <charset val="1"/>
    </font>
    <font>
      <b val="true"/>
      <sz val="8"/>
      <color rgb="FF0000FF"/>
      <name val="Tahoma"/>
      <family val="0"/>
      <charset val="1"/>
    </font>
    <font>
      <b val="true"/>
      <sz val="8"/>
      <color rgb="FF000000"/>
      <name val="Tahoma"/>
      <family val="0"/>
      <charset val="1"/>
    </font>
    <font>
      <b val="true"/>
      <sz val="9"/>
      <color rgb="FF1F3864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1"/>
      <color rgb="FF1F3864"/>
      <name val="Tahoma"/>
      <family val="0"/>
      <charset val="1"/>
    </font>
    <font>
      <sz val="8"/>
      <color rgb="FF404040"/>
      <name val="Tahoma"/>
      <family val="0"/>
      <charset val="1"/>
    </font>
    <font>
      <b val="true"/>
      <sz val="9"/>
      <color rgb="FFFF0000"/>
      <name val="Tahoma"/>
      <family val="0"/>
      <charset val="1"/>
    </font>
    <font>
      <sz val="8"/>
      <color rgb="FFFF0000"/>
      <name val="Tahoma"/>
      <family val="0"/>
      <charset val="1"/>
    </font>
    <font>
      <b val="true"/>
      <sz val="11"/>
      <color rgb="FFFF0000"/>
      <name val="Tahoma"/>
      <family val="0"/>
      <charset val="1"/>
    </font>
    <font>
      <b val="true"/>
      <sz val="7"/>
      <color rgb="FF000000"/>
      <name val="Tahoma"/>
      <family val="0"/>
      <charset val="1"/>
    </font>
    <font>
      <b val="true"/>
      <sz val="7"/>
      <color rgb="FF006100"/>
      <name val="Tahoma"/>
      <family val="0"/>
      <charset val="1"/>
    </font>
    <font>
      <sz val="7"/>
      <color rgb="FFBFBFBF"/>
      <name val="Tahoma"/>
      <family val="0"/>
      <charset val="1"/>
    </font>
    <font>
      <sz val="7"/>
      <color rgb="FF000000"/>
      <name val="Tahoma"/>
      <family val="0"/>
      <charset val="1"/>
    </font>
    <font>
      <b val="true"/>
      <sz val="8"/>
      <color rgb="FF1F3864"/>
      <name val="Tahoma"/>
      <family val="0"/>
      <charset val="1"/>
    </font>
    <font>
      <sz val="8"/>
      <color rgb="FF1F3864"/>
      <name val="Tahoma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1F3864"/>
        <bgColor rgb="FF333399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BE5D6"/>
      </patternFill>
    </fill>
    <fill>
      <patternFill patternType="solid">
        <fgColor rgb="FFFCE4D6"/>
        <bgColor rgb="FFFBE5D6"/>
      </patternFill>
    </fill>
    <fill>
      <patternFill patternType="solid">
        <fgColor rgb="FFE2EFDA"/>
        <bgColor rgb="FFDDEBF7"/>
      </patternFill>
    </fill>
    <fill>
      <patternFill patternType="solid">
        <fgColor rgb="FFE4DFEC"/>
        <bgColor rgb="FFD9E1F2"/>
      </patternFill>
    </fill>
    <fill>
      <patternFill patternType="solid">
        <fgColor rgb="FFFBE5D6"/>
        <bgColor rgb="FFFCE4D6"/>
      </patternFill>
    </fill>
    <fill>
      <patternFill patternType="solid">
        <fgColor rgb="FFFFFFFF"/>
        <bgColor rgb="FFF2F2F2"/>
      </patternFill>
    </fill>
    <fill>
      <patternFill patternType="solid">
        <fgColor rgb="FFD9E1F2"/>
        <bgColor rgb="FFE4DFEC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9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9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BE5D6"/>
      <rgbColor rgb="FFE4DFEC"/>
      <rgbColor rgb="FFF2F2F2"/>
      <rgbColor rgb="FFCC99FF"/>
      <rgbColor rgb="FFFCE4D6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339966"/>
      <rgbColor rgb="FF0061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1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  <c r="C6" s="5"/>
    </row>
    <row r="7" customFormat="false" ht="30" hidden="false" customHeight="true" outlineLevel="0" collapsed="false">
      <c r="B7" s="6" t="s">
        <v>4</v>
      </c>
      <c r="C7" s="7" t="s">
        <v>5</v>
      </c>
    </row>
    <row r="8" customFormat="false" ht="30" hidden="false" customHeight="true" outlineLevel="0" collapsed="false">
      <c r="B8" s="6" t="s">
        <v>6</v>
      </c>
      <c r="C8" s="7" t="s">
        <v>7</v>
      </c>
    </row>
    <row r="9" customFormat="false" ht="30" hidden="false" customHeight="true" outlineLevel="0" collapsed="false">
      <c r="B9" s="6" t="s">
        <v>8</v>
      </c>
      <c r="C9" s="7" t="s">
        <v>9</v>
      </c>
    </row>
    <row r="10" customFormat="false" ht="30" hidden="false" customHeight="true" outlineLevel="0" collapsed="false">
      <c r="B10" s="6" t="s">
        <v>10</v>
      </c>
      <c r="C10" s="7" t="s">
        <v>11</v>
      </c>
    </row>
    <row r="11" customFormat="false" ht="30" hidden="false" customHeight="true" outlineLevel="0" collapsed="false">
      <c r="B11" s="6" t="s">
        <v>12</v>
      </c>
      <c r="C11" s="7" t="s">
        <v>13</v>
      </c>
    </row>
    <row r="12" customFormat="false" ht="30" hidden="false" customHeight="true" outlineLevel="0" collapsed="false">
      <c r="B12" s="6" t="s">
        <v>14</v>
      </c>
      <c r="C12" s="7" t="s">
        <v>15</v>
      </c>
    </row>
    <row r="13" customFormat="false" ht="30" hidden="false" customHeight="true" outlineLevel="0" collapsed="false">
      <c r="B13" s="6" t="s">
        <v>16</v>
      </c>
      <c r="C13" s="7" t="s">
        <v>17</v>
      </c>
    </row>
    <row r="14" customFormat="false" ht="30" hidden="false" customHeight="true" outlineLevel="0" collapsed="false">
      <c r="B14" s="6" t="s">
        <v>18</v>
      </c>
      <c r="C14" s="7" t="s">
        <v>19</v>
      </c>
    </row>
    <row r="15" customFormat="false" ht="30" hidden="false" customHeight="true" outlineLevel="0" collapsed="false">
      <c r="B15" s="6" t="s">
        <v>20</v>
      </c>
      <c r="C15" s="7" t="s">
        <v>21</v>
      </c>
    </row>
    <row r="16" customFormat="false" ht="30" hidden="false" customHeight="true" outlineLevel="0" collapsed="false">
      <c r="B16" s="6" t="s">
        <v>22</v>
      </c>
      <c r="C16" s="7" t="s">
        <v>23</v>
      </c>
    </row>
    <row r="18" customFormat="false" ht="15" hidden="false" customHeight="false" outlineLevel="0" collapsed="false">
      <c r="B18" s="4" t="s">
        <v>24</v>
      </c>
      <c r="C18" s="5"/>
    </row>
    <row r="19" customFormat="false" ht="30" hidden="false" customHeight="true" outlineLevel="0" collapsed="false">
      <c r="B19" s="6" t="s">
        <v>25</v>
      </c>
      <c r="C19" s="7" t="s">
        <v>26</v>
      </c>
    </row>
    <row r="20" customFormat="false" ht="30" hidden="false" customHeight="true" outlineLevel="0" collapsed="false">
      <c r="B20" s="6" t="s">
        <v>27</v>
      </c>
      <c r="C20" s="7" t="s">
        <v>28</v>
      </c>
    </row>
    <row r="21" customFormat="false" ht="30" hidden="false" customHeight="true" outlineLevel="0" collapsed="false">
      <c r="B21" s="6" t="s">
        <v>29</v>
      </c>
      <c r="C21" s="7" t="s">
        <v>30</v>
      </c>
    </row>
    <row r="22" customFormat="false" ht="30" hidden="false" customHeight="true" outlineLevel="0" collapsed="false">
      <c r="B22" s="6" t="s">
        <v>31</v>
      </c>
      <c r="C22" s="7" t="s">
        <v>32</v>
      </c>
    </row>
    <row r="23" customFormat="false" ht="30" hidden="false" customHeight="true" outlineLevel="0" collapsed="false">
      <c r="B23" s="6" t="s">
        <v>33</v>
      </c>
      <c r="C23" s="7" t="s">
        <v>34</v>
      </c>
    </row>
    <row r="25" customFormat="false" ht="15" hidden="false" customHeight="false" outlineLevel="0" collapsed="false">
      <c r="B25" s="4" t="s">
        <v>35</v>
      </c>
      <c r="C25" s="5"/>
    </row>
    <row r="26" customFormat="false" ht="30" hidden="false" customHeight="true" outlineLevel="0" collapsed="false">
      <c r="B26" s="6" t="s">
        <v>36</v>
      </c>
      <c r="C26" s="7" t="s">
        <v>37</v>
      </c>
    </row>
    <row r="27" customFormat="false" ht="30" hidden="false" customHeight="true" outlineLevel="0" collapsed="false">
      <c r="B27" s="6" t="s">
        <v>38</v>
      </c>
      <c r="C27" s="7" t="s">
        <v>39</v>
      </c>
    </row>
    <row r="28" customFormat="false" ht="30" hidden="false" customHeight="true" outlineLevel="0" collapsed="false">
      <c r="B28" s="6" t="s">
        <v>40</v>
      </c>
      <c r="C28" s="7" t="s">
        <v>41</v>
      </c>
    </row>
    <row r="29" customFormat="false" ht="30" hidden="false" customHeight="true" outlineLevel="0" collapsed="false">
      <c r="B29" s="6" t="s">
        <v>42</v>
      </c>
      <c r="C29" s="7" t="s">
        <v>43</v>
      </c>
    </row>
    <row r="30" customFormat="false" ht="30" hidden="false" customHeight="true" outlineLevel="0" collapsed="false">
      <c r="B30" s="6" t="s">
        <v>44</v>
      </c>
      <c r="C30" s="7" t="s">
        <v>45</v>
      </c>
    </row>
    <row r="32" customFormat="false" ht="15" hidden="false" customHeight="false" outlineLevel="0" collapsed="false">
      <c r="B32" s="4" t="s">
        <v>46</v>
      </c>
      <c r="C32" s="5"/>
    </row>
    <row r="33" customFormat="false" ht="30" hidden="false" customHeight="true" outlineLevel="0" collapsed="false">
      <c r="B33" s="6" t="s">
        <v>47</v>
      </c>
      <c r="C33" s="7" t="s">
        <v>48</v>
      </c>
    </row>
    <row r="34" customFormat="false" ht="30" hidden="false" customHeight="true" outlineLevel="0" collapsed="false">
      <c r="B34" s="6" t="s">
        <v>49</v>
      </c>
      <c r="C34" s="7" t="s">
        <v>50</v>
      </c>
    </row>
    <row r="35" customFormat="false" ht="30" hidden="false" customHeight="true" outlineLevel="0" collapsed="false">
      <c r="B35" s="6" t="s">
        <v>51</v>
      </c>
      <c r="C35" s="7" t="s">
        <v>52</v>
      </c>
    </row>
    <row r="36" customFormat="false" ht="30" hidden="false" customHeight="true" outlineLevel="0" collapsed="false">
      <c r="B36" s="6" t="s">
        <v>53</v>
      </c>
      <c r="C36" s="7" t="s">
        <v>54</v>
      </c>
    </row>
    <row r="37" customFormat="false" ht="30" hidden="false" customHeight="true" outlineLevel="0" collapsed="false">
      <c r="B37" s="6" t="s">
        <v>55</v>
      </c>
      <c r="C37" s="7" t="s">
        <v>56</v>
      </c>
    </row>
    <row r="38" customFormat="false" ht="30" hidden="false" customHeight="true" outlineLevel="0" collapsed="false">
      <c r="B38" s="6" t="s">
        <v>57</v>
      </c>
      <c r="C38" s="7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6"/>
    <col collapsed="false" customWidth="true" hidden="false" outlineLevel="0" max="3" min="3" style="0" width="7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20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2" min="11" style="0" width="11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6" min="15" style="0" width="12"/>
    <col collapsed="false" customWidth="true" hidden="false" outlineLevel="0" max="17" min="17" style="0" width="13"/>
    <col collapsed="false" customWidth="true" hidden="false" outlineLevel="0" max="18" min="18" style="0" width="10"/>
    <col collapsed="false" customWidth="true" hidden="false" outlineLevel="0" max="20" min="19" style="0" width="12"/>
    <col collapsed="false" customWidth="true" hidden="false" outlineLevel="0" max="22" min="21" style="0" width="11"/>
    <col collapsed="false" customWidth="true" hidden="false" outlineLevel="0" max="23" min="23" style="0" width="34"/>
    <col collapsed="false" customWidth="true" hidden="false" outlineLevel="0" max="24" min="24" style="0" width="44"/>
    <col collapsed="false" customWidth="true" hidden="false" outlineLevel="0" max="25" min="25" style="0" width="34"/>
    <col collapsed="false" customWidth="true" hidden="false" outlineLevel="0" max="26" min="26" style="0" width="30"/>
    <col collapsed="false" customWidth="true" hidden="false" outlineLevel="0" max="27" min="27" style="0" width="42"/>
    <col collapsed="false" customWidth="true" hidden="false" outlineLevel="0" max="28" min="28" style="0" width="10"/>
    <col collapsed="false" customWidth="true" hidden="false" outlineLevel="0" max="29" min="29" style="0" width="46"/>
    <col collapsed="false" customWidth="true" hidden="false" outlineLevel="0" max="30" min="30" style="0" width="40"/>
    <col collapsed="false" customWidth="true" hidden="false" outlineLevel="0" max="31" min="31" style="0" width="72"/>
    <col collapsed="false" customWidth="true" hidden="false" outlineLevel="0" max="32" min="32" style="0" width="78"/>
  </cols>
  <sheetData>
    <row r="1" customFormat="false" ht="24" hidden="false" customHeight="true" outlineLevel="0" collapsed="false">
      <c r="A1" s="8" t="s">
        <v>59</v>
      </c>
      <c r="C1" s="3" t="s">
        <v>60</v>
      </c>
    </row>
    <row r="2" customFormat="false" ht="48" hidden="false" customHeight="true" outlineLevel="0" collapsed="false">
      <c r="A2" s="9" t="s">
        <v>61</v>
      </c>
      <c r="B2" s="9" t="s">
        <v>62</v>
      </c>
      <c r="C2" s="9" t="s">
        <v>63</v>
      </c>
      <c r="D2" s="9" t="s">
        <v>64</v>
      </c>
      <c r="E2" s="9" t="s">
        <v>65</v>
      </c>
      <c r="F2" s="9" t="s">
        <v>66</v>
      </c>
      <c r="G2" s="9" t="s">
        <v>67</v>
      </c>
      <c r="H2" s="9" t="s">
        <v>68</v>
      </c>
      <c r="I2" s="9" t="s">
        <v>69</v>
      </c>
      <c r="J2" s="9" t="s">
        <v>70</v>
      </c>
      <c r="K2" s="9" t="s">
        <v>71</v>
      </c>
      <c r="L2" s="9" t="s">
        <v>72</v>
      </c>
      <c r="M2" s="9" t="s">
        <v>73</v>
      </c>
      <c r="N2" s="9" t="s">
        <v>74</v>
      </c>
      <c r="O2" s="9" t="s">
        <v>75</v>
      </c>
      <c r="P2" s="9" t="s">
        <v>76</v>
      </c>
      <c r="Q2" s="9" t="s">
        <v>77</v>
      </c>
      <c r="R2" s="9" t="s">
        <v>78</v>
      </c>
      <c r="S2" s="9" t="s">
        <v>79</v>
      </c>
      <c r="T2" s="9" t="s">
        <v>80</v>
      </c>
      <c r="U2" s="9" t="s">
        <v>81</v>
      </c>
      <c r="V2" s="9" t="s">
        <v>82</v>
      </c>
      <c r="W2" s="9" t="s">
        <v>83</v>
      </c>
      <c r="X2" s="9" t="s">
        <v>84</v>
      </c>
      <c r="Y2" s="9" t="s">
        <v>85</v>
      </c>
      <c r="Z2" s="9" t="s">
        <v>86</v>
      </c>
      <c r="AA2" s="9" t="s">
        <v>87</v>
      </c>
      <c r="AB2" s="9" t="s">
        <v>88</v>
      </c>
      <c r="AC2" s="9" t="s">
        <v>89</v>
      </c>
      <c r="AD2" s="9" t="s">
        <v>90</v>
      </c>
      <c r="AE2" s="9" t="s">
        <v>91</v>
      </c>
      <c r="AF2" s="9" t="s">
        <v>92</v>
      </c>
    </row>
    <row r="3" customFormat="false" ht="57.75" hidden="false" customHeight="true" outlineLevel="0" collapsed="false">
      <c r="A3" s="10" t="s">
        <v>93</v>
      </c>
      <c r="B3" s="11" t="s">
        <v>94</v>
      </c>
      <c r="C3" s="12" t="n">
        <v>1</v>
      </c>
      <c r="D3" s="11" t="s">
        <v>95</v>
      </c>
      <c r="E3" s="12" t="s">
        <v>96</v>
      </c>
      <c r="F3" s="12" t="s">
        <v>97</v>
      </c>
      <c r="G3" s="12" t="s">
        <v>98</v>
      </c>
      <c r="H3" s="12" t="n">
        <v>4</v>
      </c>
      <c r="I3" s="12" t="n">
        <v>8</v>
      </c>
      <c r="J3" s="12" t="n">
        <v>40</v>
      </c>
      <c r="K3" s="12" t="n">
        <v>8</v>
      </c>
      <c r="L3" s="12" t="n">
        <v>16</v>
      </c>
      <c r="M3" s="12" t="n">
        <v>200</v>
      </c>
      <c r="N3" s="12" t="n">
        <v>1</v>
      </c>
      <c r="O3" s="12" t="n">
        <v>5</v>
      </c>
      <c r="P3" s="12" t="s">
        <v>99</v>
      </c>
      <c r="Q3" s="12" t="s">
        <v>99</v>
      </c>
      <c r="R3" s="13" t="n">
        <f aca="false">INDEX(02_Freq_Weight!$E$3:$E$9,MATCH(Q3,02_Freq_Weight!$A$3:$A$9,0))</f>
        <v>0.95</v>
      </c>
      <c r="S3" s="12" t="n">
        <v>0.05</v>
      </c>
      <c r="T3" s="12" t="n">
        <v>3650</v>
      </c>
      <c r="U3" s="14" t="n">
        <v>0.2</v>
      </c>
      <c r="V3" s="14" t="n">
        <v>0.25</v>
      </c>
      <c r="W3" s="11" t="s">
        <v>100</v>
      </c>
      <c r="X3" s="11" t="s">
        <v>101</v>
      </c>
      <c r="Y3" s="11" t="s">
        <v>102</v>
      </c>
      <c r="Z3" s="11" t="s">
        <v>103</v>
      </c>
      <c r="AA3" s="11" t="s">
        <v>104</v>
      </c>
      <c r="AB3" s="12" t="n">
        <v>8</v>
      </c>
      <c r="AC3" s="11" t="s">
        <v>105</v>
      </c>
      <c r="AD3" s="11" t="s">
        <v>106</v>
      </c>
      <c r="AE3" s="11" t="s">
        <v>107</v>
      </c>
      <c r="AF3" s="11" t="s">
        <v>108</v>
      </c>
    </row>
    <row r="4" customFormat="false" ht="57.75" hidden="false" customHeight="true" outlineLevel="0" collapsed="false">
      <c r="A4" s="10" t="s">
        <v>109</v>
      </c>
      <c r="B4" s="11" t="s">
        <v>110</v>
      </c>
      <c r="C4" s="12" t="n">
        <v>1</v>
      </c>
      <c r="D4" s="11" t="s">
        <v>95</v>
      </c>
      <c r="E4" s="12" t="s">
        <v>96</v>
      </c>
      <c r="F4" s="12" t="s">
        <v>97</v>
      </c>
      <c r="G4" s="12" t="s">
        <v>98</v>
      </c>
      <c r="H4" s="12" t="n">
        <v>1</v>
      </c>
      <c r="I4" s="12" t="n">
        <v>1</v>
      </c>
      <c r="J4" s="12" t="n">
        <v>10</v>
      </c>
      <c r="K4" s="12" t="n">
        <v>2</v>
      </c>
      <c r="L4" s="12" t="n">
        <v>4</v>
      </c>
      <c r="M4" s="12" t="n">
        <v>100</v>
      </c>
      <c r="N4" s="12" t="n">
        <v>1</v>
      </c>
      <c r="O4" s="12" t="n">
        <v>0.5</v>
      </c>
      <c r="P4" s="12" t="s">
        <v>99</v>
      </c>
      <c r="Q4" s="12" t="s">
        <v>99</v>
      </c>
      <c r="R4" s="13" t="n">
        <f aca="false">INDEX(02_Freq_Weight!$E$3:$E$9,MATCH(Q4,02_Freq_Weight!$A$3:$A$9,0))</f>
        <v>0.95</v>
      </c>
      <c r="S4" s="12" t="n">
        <v>0.02</v>
      </c>
      <c r="T4" s="12" t="n">
        <v>3650</v>
      </c>
      <c r="U4" s="14" t="n">
        <v>0.1</v>
      </c>
      <c r="V4" s="14" t="n">
        <v>0.25</v>
      </c>
      <c r="W4" s="11" t="s">
        <v>111</v>
      </c>
      <c r="X4" s="11" t="s">
        <v>101</v>
      </c>
      <c r="Y4" s="11" t="s">
        <v>102</v>
      </c>
      <c r="Z4" s="11" t="s">
        <v>103</v>
      </c>
      <c r="AA4" s="11" t="s">
        <v>104</v>
      </c>
      <c r="AB4" s="12" t="n">
        <v>8</v>
      </c>
      <c r="AC4" s="11" t="s">
        <v>112</v>
      </c>
      <c r="AD4" s="11"/>
      <c r="AE4" s="11" t="s">
        <v>113</v>
      </c>
      <c r="AF4" s="11" t="s">
        <v>114</v>
      </c>
    </row>
    <row r="5" customFormat="false" ht="57.75" hidden="false" customHeight="true" outlineLevel="0" collapsed="false">
      <c r="A5" s="10" t="s">
        <v>115</v>
      </c>
      <c r="B5" s="11" t="s">
        <v>116</v>
      </c>
      <c r="C5" s="12" t="n">
        <v>1</v>
      </c>
      <c r="D5" s="11" t="s">
        <v>117</v>
      </c>
      <c r="E5" s="12" t="s">
        <v>96</v>
      </c>
      <c r="F5" s="12" t="s">
        <v>97</v>
      </c>
      <c r="G5" s="12" t="s">
        <v>98</v>
      </c>
      <c r="H5" s="12" t="n">
        <v>2</v>
      </c>
      <c r="I5" s="12" t="n">
        <v>4</v>
      </c>
      <c r="J5" s="12" t="n">
        <v>60</v>
      </c>
      <c r="K5" s="12" t="n">
        <v>4</v>
      </c>
      <c r="L5" s="12" t="n">
        <v>8</v>
      </c>
      <c r="M5" s="12" t="n">
        <v>150</v>
      </c>
      <c r="N5" s="12" t="n">
        <v>0</v>
      </c>
      <c r="O5" s="12" t="n">
        <v>0.2</v>
      </c>
      <c r="P5" s="12" t="s">
        <v>118</v>
      </c>
      <c r="Q5" s="12" t="s">
        <v>119</v>
      </c>
      <c r="R5" s="13" t="n">
        <f aca="false">INDEX(02_Freq_Weight!$E$3:$E$9,MATCH(Q5,02_Freq_Weight!$A$3:$A$9,0))</f>
        <v>0.86</v>
      </c>
      <c r="S5" s="12" t="n">
        <v>0.6</v>
      </c>
      <c r="T5" s="12" t="n">
        <v>30</v>
      </c>
      <c r="U5" s="14" t="n">
        <v>0.05</v>
      </c>
      <c r="V5" s="14" t="n">
        <v>0.2</v>
      </c>
      <c r="W5" s="11" t="s">
        <v>120</v>
      </c>
      <c r="X5" s="11" t="s">
        <v>103</v>
      </c>
      <c r="Y5" s="11" t="s">
        <v>121</v>
      </c>
      <c r="Z5" s="11" t="s">
        <v>103</v>
      </c>
      <c r="AA5" s="11" t="s">
        <v>122</v>
      </c>
      <c r="AB5" s="12" t="n">
        <v>1</v>
      </c>
      <c r="AC5" s="11" t="s">
        <v>123</v>
      </c>
      <c r="AD5" s="11"/>
      <c r="AE5" s="11" t="s">
        <v>124</v>
      </c>
      <c r="AF5" s="11" t="s">
        <v>125</v>
      </c>
    </row>
    <row r="6" customFormat="false" ht="57.75" hidden="false" customHeight="true" outlineLevel="0" collapsed="false">
      <c r="A6" s="10" t="s">
        <v>126</v>
      </c>
      <c r="B6" s="11" t="s">
        <v>127</v>
      </c>
      <c r="C6" s="12" t="n">
        <v>1</v>
      </c>
      <c r="D6" s="11" t="s">
        <v>117</v>
      </c>
      <c r="E6" s="12" t="s">
        <v>96</v>
      </c>
      <c r="F6" s="12" t="s">
        <v>97</v>
      </c>
      <c r="G6" s="12" t="s">
        <v>98</v>
      </c>
      <c r="H6" s="12" t="n">
        <v>2</v>
      </c>
      <c r="I6" s="12" t="n">
        <v>4</v>
      </c>
      <c r="J6" s="12" t="n">
        <v>20</v>
      </c>
      <c r="K6" s="12" t="n">
        <v>4</v>
      </c>
      <c r="L6" s="12" t="n">
        <v>8</v>
      </c>
      <c r="M6" s="12" t="n">
        <v>100</v>
      </c>
      <c r="N6" s="12" t="n">
        <v>1</v>
      </c>
      <c r="O6" s="12" t="n">
        <v>2</v>
      </c>
      <c r="P6" s="12" t="s">
        <v>99</v>
      </c>
      <c r="Q6" s="12" t="s">
        <v>99</v>
      </c>
      <c r="R6" s="13" t="n">
        <f aca="false">INDEX(02_Freq_Weight!$E$3:$E$9,MATCH(Q6,02_Freq_Weight!$A$3:$A$9,0))</f>
        <v>0.95</v>
      </c>
      <c r="S6" s="12" t="n">
        <v>0.15</v>
      </c>
      <c r="T6" s="12" t="n">
        <v>180</v>
      </c>
      <c r="U6" s="14" t="n">
        <v>0.1</v>
      </c>
      <c r="V6" s="14" t="n">
        <v>0.15</v>
      </c>
      <c r="W6" s="11" t="s">
        <v>128</v>
      </c>
      <c r="X6" s="11" t="s">
        <v>129</v>
      </c>
      <c r="Y6" s="11" t="s">
        <v>102</v>
      </c>
      <c r="Z6" s="11" t="s">
        <v>103</v>
      </c>
      <c r="AA6" s="11" t="s">
        <v>130</v>
      </c>
      <c r="AB6" s="12" t="n">
        <v>11</v>
      </c>
      <c r="AC6" s="11" t="s">
        <v>131</v>
      </c>
      <c r="AD6" s="11" t="s">
        <v>132</v>
      </c>
      <c r="AE6" s="11" t="s">
        <v>133</v>
      </c>
      <c r="AF6" s="11" t="s">
        <v>134</v>
      </c>
    </row>
    <row r="7" customFormat="false" ht="57.75" hidden="false" customHeight="true" outlineLevel="0" collapsed="false">
      <c r="A7" s="10" t="s">
        <v>135</v>
      </c>
      <c r="B7" s="11" t="s">
        <v>136</v>
      </c>
      <c r="C7" s="12" t="n">
        <v>1</v>
      </c>
      <c r="D7" s="11" t="s">
        <v>117</v>
      </c>
      <c r="E7" s="12" t="s">
        <v>96</v>
      </c>
      <c r="F7" s="12" t="s">
        <v>97</v>
      </c>
      <c r="G7" s="12" t="s">
        <v>98</v>
      </c>
      <c r="H7" s="12" t="n">
        <v>2</v>
      </c>
      <c r="I7" s="12" t="n">
        <v>4</v>
      </c>
      <c r="J7" s="12" t="n">
        <v>60</v>
      </c>
      <c r="K7" s="12" t="n">
        <v>4</v>
      </c>
      <c r="L7" s="12" t="n">
        <v>8</v>
      </c>
      <c r="M7" s="12" t="n">
        <v>200</v>
      </c>
      <c r="N7" s="12" t="n">
        <v>0</v>
      </c>
      <c r="O7" s="12" t="n">
        <v>0.3</v>
      </c>
      <c r="P7" s="12" t="s">
        <v>99</v>
      </c>
      <c r="Q7" s="12" t="s">
        <v>119</v>
      </c>
      <c r="R7" s="13" t="n">
        <f aca="false">INDEX(02_Freq_Weight!$E$3:$E$9,MATCH(Q7,02_Freq_Weight!$A$3:$A$9,0))</f>
        <v>0.86</v>
      </c>
      <c r="S7" s="12" t="n">
        <v>0.8</v>
      </c>
      <c r="T7" s="12" t="n">
        <v>7</v>
      </c>
      <c r="U7" s="14" t="n">
        <v>0.05</v>
      </c>
      <c r="V7" s="14" t="n">
        <v>0.2</v>
      </c>
      <c r="W7" s="11" t="s">
        <v>137</v>
      </c>
      <c r="X7" s="11" t="s">
        <v>103</v>
      </c>
      <c r="Y7" s="11" t="s">
        <v>138</v>
      </c>
      <c r="Z7" s="11" t="s">
        <v>103</v>
      </c>
      <c r="AA7" s="11" t="s">
        <v>139</v>
      </c>
      <c r="AB7" s="12" t="n">
        <v>2</v>
      </c>
      <c r="AC7" s="11" t="s">
        <v>140</v>
      </c>
      <c r="AD7" s="11"/>
      <c r="AE7" s="11" t="s">
        <v>141</v>
      </c>
      <c r="AF7" s="11" t="s">
        <v>142</v>
      </c>
    </row>
    <row r="8" customFormat="false" ht="57.75" hidden="false" customHeight="true" outlineLevel="0" collapsed="false">
      <c r="A8" s="10" t="s">
        <v>143</v>
      </c>
      <c r="B8" s="11" t="s">
        <v>144</v>
      </c>
      <c r="C8" s="12" t="n">
        <v>1</v>
      </c>
      <c r="D8" s="11" t="s">
        <v>117</v>
      </c>
      <c r="E8" s="12" t="s">
        <v>96</v>
      </c>
      <c r="F8" s="12" t="s">
        <v>97</v>
      </c>
      <c r="G8" s="12" t="s">
        <v>145</v>
      </c>
      <c r="H8" s="12" t="n">
        <v>1</v>
      </c>
      <c r="I8" s="12" t="n">
        <v>2</v>
      </c>
      <c r="J8" s="12" t="n">
        <v>10</v>
      </c>
      <c r="K8" s="12" t="n">
        <v>2</v>
      </c>
      <c r="L8" s="12" t="n">
        <v>4</v>
      </c>
      <c r="M8" s="12" t="n">
        <v>40</v>
      </c>
      <c r="N8" s="12" t="n">
        <v>1</v>
      </c>
      <c r="O8" s="12" t="n">
        <v>1</v>
      </c>
      <c r="P8" s="12" t="s">
        <v>99</v>
      </c>
      <c r="Q8" s="12" t="s">
        <v>99</v>
      </c>
      <c r="R8" s="13" t="n">
        <f aca="false">INDEX(02_Freq_Weight!$E$3:$E$9,MATCH(Q8,02_Freq_Weight!$A$3:$A$9,0))</f>
        <v>0.95</v>
      </c>
      <c r="S8" s="12" t="n">
        <v>0.15</v>
      </c>
      <c r="T8" s="12" t="n">
        <v>90</v>
      </c>
      <c r="U8" s="14" t="n">
        <v>0.1</v>
      </c>
      <c r="V8" s="14" t="n">
        <v>0.2</v>
      </c>
      <c r="W8" s="11" t="s">
        <v>146</v>
      </c>
      <c r="X8" s="11" t="s">
        <v>101</v>
      </c>
      <c r="Y8" s="11" t="s">
        <v>147</v>
      </c>
      <c r="Z8" s="11" t="s">
        <v>103</v>
      </c>
      <c r="AA8" s="11" t="s">
        <v>148</v>
      </c>
      <c r="AB8" s="12" t="n">
        <v>7</v>
      </c>
      <c r="AC8" s="11" t="s">
        <v>149</v>
      </c>
      <c r="AD8" s="11"/>
      <c r="AE8" s="11" t="s">
        <v>150</v>
      </c>
      <c r="AF8" s="11" t="s">
        <v>151</v>
      </c>
    </row>
    <row r="9" customFormat="false" ht="57.75" hidden="false" customHeight="true" outlineLevel="0" collapsed="false">
      <c r="A9" s="10" t="s">
        <v>152</v>
      </c>
      <c r="B9" s="11" t="s">
        <v>153</v>
      </c>
      <c r="C9" s="12" t="n">
        <v>1</v>
      </c>
      <c r="D9" s="11" t="s">
        <v>154</v>
      </c>
      <c r="E9" s="12" t="s">
        <v>155</v>
      </c>
      <c r="F9" s="12" t="s">
        <v>97</v>
      </c>
      <c r="G9" s="12" t="s">
        <v>145</v>
      </c>
      <c r="H9" s="12" t="n">
        <v>1</v>
      </c>
      <c r="I9" s="12" t="n">
        <v>1</v>
      </c>
      <c r="J9" s="12" t="n">
        <v>5</v>
      </c>
      <c r="K9" s="12" t="n">
        <v>1</v>
      </c>
      <c r="L9" s="12" t="n">
        <v>2</v>
      </c>
      <c r="M9" s="12" t="n">
        <v>10</v>
      </c>
      <c r="N9" s="12" t="n">
        <v>0</v>
      </c>
      <c r="O9" s="12" t="n">
        <v>0</v>
      </c>
      <c r="P9" s="12" t="s">
        <v>118</v>
      </c>
      <c r="Q9" s="12" t="s">
        <v>156</v>
      </c>
      <c r="R9" s="13" t="n">
        <f aca="false">INDEX(02_Freq_Weight!$E$3:$E$9,MATCH(Q9,02_Freq_Weight!$A$3:$A$9,0))</f>
        <v>0.7475</v>
      </c>
      <c r="S9" s="12" t="n">
        <v>0.01</v>
      </c>
      <c r="T9" s="12" t="n">
        <v>90</v>
      </c>
      <c r="U9" s="14" t="n">
        <v>0.05</v>
      </c>
      <c r="V9" s="14" t="n">
        <v>0.1</v>
      </c>
      <c r="W9" s="11" t="s">
        <v>157</v>
      </c>
      <c r="X9" s="11" t="s">
        <v>158</v>
      </c>
      <c r="Y9" s="11" t="s">
        <v>159</v>
      </c>
      <c r="Z9" s="11" t="s">
        <v>103</v>
      </c>
      <c r="AA9" s="11" t="s">
        <v>160</v>
      </c>
      <c r="AB9" s="12" t="n">
        <v>4</v>
      </c>
      <c r="AC9" s="11" t="s">
        <v>161</v>
      </c>
      <c r="AD9" s="11"/>
      <c r="AE9" s="11" t="s">
        <v>162</v>
      </c>
      <c r="AF9" s="11" t="s">
        <v>163</v>
      </c>
    </row>
    <row r="10" customFormat="false" ht="57.75" hidden="false" customHeight="true" outlineLevel="0" collapsed="false">
      <c r="A10" s="10" t="s">
        <v>164</v>
      </c>
      <c r="B10" s="11" t="s">
        <v>165</v>
      </c>
      <c r="C10" s="12" t="n">
        <v>1</v>
      </c>
      <c r="D10" s="11" t="s">
        <v>166</v>
      </c>
      <c r="E10" s="12" t="s">
        <v>96</v>
      </c>
      <c r="F10" s="12" t="s">
        <v>97</v>
      </c>
      <c r="G10" s="12" t="s">
        <v>167</v>
      </c>
      <c r="H10" s="12" t="n">
        <v>1</v>
      </c>
      <c r="I10" s="12" t="n">
        <v>1</v>
      </c>
      <c r="J10" s="12" t="n">
        <v>10</v>
      </c>
      <c r="K10" s="12" t="n">
        <v>2</v>
      </c>
      <c r="L10" s="12" t="n">
        <v>4</v>
      </c>
      <c r="M10" s="12" t="n">
        <v>40</v>
      </c>
      <c r="N10" s="12" t="n">
        <v>1</v>
      </c>
      <c r="O10" s="12" t="n">
        <v>0.3</v>
      </c>
      <c r="P10" s="12" t="s">
        <v>99</v>
      </c>
      <c r="Q10" s="12" t="s">
        <v>99</v>
      </c>
      <c r="R10" s="13" t="n">
        <f aca="false">INDEX(02_Freq_Weight!$E$3:$E$9,MATCH(Q10,02_Freq_Weight!$A$3:$A$9,0))</f>
        <v>0.95</v>
      </c>
      <c r="S10" s="12" t="n">
        <v>0.1</v>
      </c>
      <c r="T10" s="12" t="n">
        <v>90</v>
      </c>
      <c r="U10" s="14" t="n">
        <v>0.1</v>
      </c>
      <c r="V10" s="14" t="n">
        <v>0.2</v>
      </c>
      <c r="W10" s="11" t="s">
        <v>168</v>
      </c>
      <c r="X10" s="11" t="s">
        <v>169</v>
      </c>
      <c r="Y10" s="11" t="s">
        <v>147</v>
      </c>
      <c r="Z10" s="11" t="s">
        <v>170</v>
      </c>
      <c r="AA10" s="11" t="s">
        <v>171</v>
      </c>
      <c r="AB10" s="12" t="n">
        <v>6</v>
      </c>
      <c r="AC10" s="11" t="s">
        <v>172</v>
      </c>
      <c r="AD10" s="11"/>
      <c r="AE10" s="11" t="s">
        <v>173</v>
      </c>
      <c r="AF10" s="11" t="s">
        <v>174</v>
      </c>
    </row>
    <row r="11" customFormat="false" ht="57.75" hidden="false" customHeight="true" outlineLevel="0" collapsed="false">
      <c r="A11" s="15" t="s">
        <v>175</v>
      </c>
      <c r="B11" s="16" t="s">
        <v>176</v>
      </c>
      <c r="C11" s="17" t="n">
        <v>2</v>
      </c>
      <c r="D11" s="16" t="s">
        <v>177</v>
      </c>
      <c r="E11" s="17" t="s">
        <v>96</v>
      </c>
      <c r="F11" s="17" t="s">
        <v>97</v>
      </c>
      <c r="G11" s="17" t="s">
        <v>178</v>
      </c>
      <c r="H11" s="17" t="n">
        <v>2</v>
      </c>
      <c r="I11" s="17" t="n">
        <v>4</v>
      </c>
      <c r="J11" s="17" t="n">
        <v>30</v>
      </c>
      <c r="K11" s="17" t="n">
        <v>4</v>
      </c>
      <c r="L11" s="17" t="n">
        <v>8</v>
      </c>
      <c r="M11" s="17" t="n">
        <v>100</v>
      </c>
      <c r="N11" s="17" t="n">
        <v>1</v>
      </c>
      <c r="O11" s="17" t="n">
        <v>3.5</v>
      </c>
      <c r="P11" s="17" t="s">
        <v>99</v>
      </c>
      <c r="Q11" s="17" t="s">
        <v>99</v>
      </c>
      <c r="R11" s="18" t="n">
        <f aca="false">INDEX(02_Freq_Weight!$E$3:$E$9,MATCH(Q11,02_Freq_Weight!$A$3:$A$9,0))</f>
        <v>0.95</v>
      </c>
      <c r="S11" s="17" t="n">
        <v>0.1</v>
      </c>
      <c r="T11" s="17" t="n">
        <v>365</v>
      </c>
      <c r="U11" s="19" t="n">
        <v>0.3</v>
      </c>
      <c r="V11" s="19" t="n">
        <v>0.2</v>
      </c>
      <c r="W11" s="16" t="s">
        <v>179</v>
      </c>
      <c r="X11" s="16" t="s">
        <v>180</v>
      </c>
      <c r="Y11" s="16" t="s">
        <v>159</v>
      </c>
      <c r="Z11" s="16" t="s">
        <v>181</v>
      </c>
      <c r="AA11" s="16" t="s">
        <v>182</v>
      </c>
      <c r="AB11" s="17" t="n">
        <v>8</v>
      </c>
      <c r="AC11" s="16" t="s">
        <v>183</v>
      </c>
      <c r="AD11" s="16" t="s">
        <v>184</v>
      </c>
      <c r="AE11" s="16" t="s">
        <v>185</v>
      </c>
      <c r="AF11" s="16" t="s">
        <v>186</v>
      </c>
    </row>
    <row r="12" customFormat="false" ht="57.75" hidden="false" customHeight="true" outlineLevel="0" collapsed="false">
      <c r="A12" s="15" t="s">
        <v>187</v>
      </c>
      <c r="B12" s="16" t="s">
        <v>188</v>
      </c>
      <c r="C12" s="17" t="n">
        <v>2</v>
      </c>
      <c r="D12" s="16" t="s">
        <v>189</v>
      </c>
      <c r="E12" s="17" t="s">
        <v>96</v>
      </c>
      <c r="F12" s="17" t="s">
        <v>97</v>
      </c>
      <c r="G12" s="17" t="s">
        <v>190</v>
      </c>
      <c r="H12" s="17" t="n">
        <v>2</v>
      </c>
      <c r="I12" s="17" t="n">
        <v>4</v>
      </c>
      <c r="J12" s="17" t="n">
        <v>20</v>
      </c>
      <c r="K12" s="17" t="n">
        <v>4</v>
      </c>
      <c r="L12" s="17" t="n">
        <v>8</v>
      </c>
      <c r="M12" s="17" t="n">
        <v>100</v>
      </c>
      <c r="N12" s="17" t="n">
        <v>1</v>
      </c>
      <c r="O12" s="17" t="n">
        <v>3</v>
      </c>
      <c r="P12" s="17" t="s">
        <v>99</v>
      </c>
      <c r="Q12" s="17" t="s">
        <v>99</v>
      </c>
      <c r="R12" s="18" t="n">
        <f aca="false">INDEX(02_Freq_Weight!$E$3:$E$9,MATCH(Q12,02_Freq_Weight!$A$3:$A$9,0))</f>
        <v>0.95</v>
      </c>
      <c r="S12" s="17" t="n">
        <v>0.05</v>
      </c>
      <c r="T12" s="17" t="n">
        <v>2555</v>
      </c>
      <c r="U12" s="19" t="n">
        <v>0.35</v>
      </c>
      <c r="V12" s="19" t="n">
        <v>0.2</v>
      </c>
      <c r="W12" s="16" t="s">
        <v>191</v>
      </c>
      <c r="X12" s="16" t="s">
        <v>101</v>
      </c>
      <c r="Y12" s="16" t="s">
        <v>147</v>
      </c>
      <c r="Z12" s="16" t="s">
        <v>103</v>
      </c>
      <c r="AA12" s="16" t="s">
        <v>148</v>
      </c>
      <c r="AB12" s="17" t="n">
        <v>7</v>
      </c>
      <c r="AC12" s="16" t="s">
        <v>192</v>
      </c>
      <c r="AD12" s="16"/>
      <c r="AE12" s="16" t="s">
        <v>193</v>
      </c>
      <c r="AF12" s="16" t="s">
        <v>194</v>
      </c>
    </row>
    <row r="13" customFormat="false" ht="57.75" hidden="false" customHeight="true" outlineLevel="0" collapsed="false">
      <c r="A13" s="15" t="s">
        <v>195</v>
      </c>
      <c r="B13" s="16" t="s">
        <v>196</v>
      </c>
      <c r="C13" s="17" t="n">
        <v>2</v>
      </c>
      <c r="D13" s="16" t="s">
        <v>197</v>
      </c>
      <c r="E13" s="17" t="s">
        <v>96</v>
      </c>
      <c r="F13" s="17" t="s">
        <v>97</v>
      </c>
      <c r="G13" s="17" t="s">
        <v>198</v>
      </c>
      <c r="H13" s="17" t="n">
        <v>2</v>
      </c>
      <c r="I13" s="17" t="n">
        <v>4</v>
      </c>
      <c r="J13" s="17" t="n">
        <v>5</v>
      </c>
      <c r="K13" s="17" t="n">
        <v>4</v>
      </c>
      <c r="L13" s="17" t="n">
        <v>8</v>
      </c>
      <c r="M13" s="17" t="n">
        <v>20</v>
      </c>
      <c r="N13" s="17" t="n">
        <v>0</v>
      </c>
      <c r="O13" s="17" t="n">
        <v>0</v>
      </c>
      <c r="P13" s="17" t="s">
        <v>118</v>
      </c>
      <c r="Q13" s="17" t="s">
        <v>119</v>
      </c>
      <c r="R13" s="18" t="n">
        <f aca="false">INDEX(02_Freq_Weight!$E$3:$E$9,MATCH(Q13,02_Freq_Weight!$A$3:$A$9,0))</f>
        <v>0.86</v>
      </c>
      <c r="S13" s="17" t="n">
        <v>0.02</v>
      </c>
      <c r="T13" s="17" t="n">
        <v>180</v>
      </c>
      <c r="U13" s="19" t="n">
        <v>0.05</v>
      </c>
      <c r="V13" s="19" t="n">
        <v>0.15</v>
      </c>
      <c r="W13" s="16" t="s">
        <v>199</v>
      </c>
      <c r="X13" s="16" t="s">
        <v>180</v>
      </c>
      <c r="Y13" s="16" t="s">
        <v>200</v>
      </c>
      <c r="Z13" s="16" t="s">
        <v>103</v>
      </c>
      <c r="AA13" s="16" t="s">
        <v>201</v>
      </c>
      <c r="AB13" s="17" t="n">
        <v>5</v>
      </c>
      <c r="AC13" s="16" t="s">
        <v>202</v>
      </c>
      <c r="AD13" s="16"/>
      <c r="AE13" s="16" t="s">
        <v>203</v>
      </c>
      <c r="AF13" s="16" t="s">
        <v>204</v>
      </c>
    </row>
    <row r="14" customFormat="false" ht="57.75" hidden="false" customHeight="true" outlineLevel="0" collapsed="false">
      <c r="A14" s="15" t="s">
        <v>205</v>
      </c>
      <c r="B14" s="16" t="s">
        <v>206</v>
      </c>
      <c r="C14" s="17" t="n">
        <v>2</v>
      </c>
      <c r="D14" s="16" t="s">
        <v>207</v>
      </c>
      <c r="E14" s="17" t="s">
        <v>96</v>
      </c>
      <c r="F14" s="17" t="s">
        <v>97</v>
      </c>
      <c r="G14" s="17" t="s">
        <v>98</v>
      </c>
      <c r="H14" s="17" t="n">
        <v>1</v>
      </c>
      <c r="I14" s="17" t="n">
        <v>2</v>
      </c>
      <c r="J14" s="17" t="n">
        <v>3</v>
      </c>
      <c r="K14" s="17" t="n">
        <v>2</v>
      </c>
      <c r="L14" s="17" t="n">
        <v>4</v>
      </c>
      <c r="M14" s="17" t="n">
        <v>10</v>
      </c>
      <c r="N14" s="17" t="n">
        <v>0</v>
      </c>
      <c r="O14" s="17" t="n">
        <v>0</v>
      </c>
      <c r="P14" s="17" t="s">
        <v>118</v>
      </c>
      <c r="Q14" s="17" t="s">
        <v>119</v>
      </c>
      <c r="R14" s="18" t="n">
        <f aca="false">INDEX(02_Freq_Weight!$E$3:$E$9,MATCH(Q14,02_Freq_Weight!$A$3:$A$9,0))</f>
        <v>0.86</v>
      </c>
      <c r="S14" s="17" t="n">
        <v>0.01</v>
      </c>
      <c r="T14" s="17" t="n">
        <v>365</v>
      </c>
      <c r="U14" s="19" t="n">
        <v>0.05</v>
      </c>
      <c r="V14" s="19" t="n">
        <v>0.1</v>
      </c>
      <c r="W14" s="16" t="s">
        <v>208</v>
      </c>
      <c r="X14" s="16" t="s">
        <v>209</v>
      </c>
      <c r="Y14" s="16" t="s">
        <v>103</v>
      </c>
      <c r="Z14" s="16" t="s">
        <v>103</v>
      </c>
      <c r="AA14" s="16" t="s">
        <v>210</v>
      </c>
      <c r="AB14" s="17" t="n">
        <v>1</v>
      </c>
      <c r="AC14" s="16" t="s">
        <v>211</v>
      </c>
      <c r="AD14" s="16"/>
      <c r="AE14" s="16" t="s">
        <v>212</v>
      </c>
      <c r="AF14" s="16" t="s">
        <v>213</v>
      </c>
    </row>
    <row r="15" customFormat="false" ht="57.75" hidden="false" customHeight="true" outlineLevel="0" collapsed="false">
      <c r="A15" s="15" t="s">
        <v>214</v>
      </c>
      <c r="B15" s="16" t="s">
        <v>215</v>
      </c>
      <c r="C15" s="17" t="n">
        <v>2</v>
      </c>
      <c r="D15" s="16" t="s">
        <v>216</v>
      </c>
      <c r="E15" s="17" t="s">
        <v>155</v>
      </c>
      <c r="F15" s="17" t="s">
        <v>97</v>
      </c>
      <c r="G15" s="17" t="s">
        <v>145</v>
      </c>
      <c r="H15" s="17" t="n">
        <v>2</v>
      </c>
      <c r="I15" s="17" t="n">
        <v>4</v>
      </c>
      <c r="J15" s="17" t="n">
        <v>15</v>
      </c>
      <c r="K15" s="17" t="n">
        <v>4</v>
      </c>
      <c r="L15" s="17" t="n">
        <v>8</v>
      </c>
      <c r="M15" s="17" t="n">
        <v>40</v>
      </c>
      <c r="N15" s="17" t="n">
        <v>0</v>
      </c>
      <c r="O15" s="17" t="n">
        <v>0.5</v>
      </c>
      <c r="P15" s="17" t="s">
        <v>217</v>
      </c>
      <c r="Q15" s="17" t="s">
        <v>218</v>
      </c>
      <c r="R15" s="18" t="n">
        <f aca="false">INDEX(02_Freq_Weight!$E$3:$E$9,MATCH(Q15,02_Freq_Weight!$A$3:$A$9,0))</f>
        <v>0.6575</v>
      </c>
      <c r="S15" s="17" t="n">
        <v>0.05</v>
      </c>
      <c r="T15" s="17" t="n">
        <v>365</v>
      </c>
      <c r="U15" s="19" t="n">
        <v>0.1</v>
      </c>
      <c r="V15" s="19" t="n">
        <v>0.15</v>
      </c>
      <c r="W15" s="16" t="s">
        <v>219</v>
      </c>
      <c r="X15" s="16" t="s">
        <v>220</v>
      </c>
      <c r="Y15" s="16" t="s">
        <v>200</v>
      </c>
      <c r="Z15" s="16" t="s">
        <v>103</v>
      </c>
      <c r="AA15" s="16" t="s">
        <v>221</v>
      </c>
      <c r="AB15" s="17" t="n">
        <v>3</v>
      </c>
      <c r="AC15" s="16" t="s">
        <v>222</v>
      </c>
      <c r="AD15" s="16" t="s">
        <v>223</v>
      </c>
      <c r="AE15" s="16" t="s">
        <v>224</v>
      </c>
      <c r="AF15" s="16" t="s">
        <v>225</v>
      </c>
    </row>
    <row r="16" customFormat="false" ht="57.75" hidden="false" customHeight="true" outlineLevel="0" collapsed="false">
      <c r="A16" s="15" t="s">
        <v>226</v>
      </c>
      <c r="B16" s="16" t="s">
        <v>227</v>
      </c>
      <c r="C16" s="17" t="n">
        <v>2</v>
      </c>
      <c r="D16" s="16" t="s">
        <v>228</v>
      </c>
      <c r="E16" s="17" t="s">
        <v>96</v>
      </c>
      <c r="F16" s="17" t="s">
        <v>97</v>
      </c>
      <c r="G16" s="17" t="s">
        <v>145</v>
      </c>
      <c r="H16" s="17" t="n">
        <v>2</v>
      </c>
      <c r="I16" s="17" t="n">
        <v>2</v>
      </c>
      <c r="J16" s="17" t="n">
        <v>10</v>
      </c>
      <c r="K16" s="17" t="n">
        <v>2</v>
      </c>
      <c r="L16" s="17" t="n">
        <v>4</v>
      </c>
      <c r="M16" s="17" t="n">
        <v>30</v>
      </c>
      <c r="N16" s="17" t="n">
        <v>0</v>
      </c>
      <c r="O16" s="17" t="n">
        <v>0</v>
      </c>
      <c r="P16" s="17" t="s">
        <v>118</v>
      </c>
      <c r="Q16" s="17" t="s">
        <v>229</v>
      </c>
      <c r="R16" s="18" t="n">
        <f aca="false">INDEX(02_Freq_Weight!$E$3:$E$9,MATCH(Q16,02_Freq_Weight!$A$3:$A$9,0))</f>
        <v>0.7925</v>
      </c>
      <c r="S16" s="17" t="n">
        <v>0.03</v>
      </c>
      <c r="T16" s="17" t="n">
        <v>365</v>
      </c>
      <c r="U16" s="19" t="n">
        <v>0.05</v>
      </c>
      <c r="V16" s="19" t="n">
        <v>0.15</v>
      </c>
      <c r="W16" s="16" t="s">
        <v>230</v>
      </c>
      <c r="X16" s="16" t="s">
        <v>231</v>
      </c>
      <c r="Y16" s="16" t="s">
        <v>200</v>
      </c>
      <c r="Z16" s="16" t="s">
        <v>103</v>
      </c>
      <c r="AA16" s="16" t="s">
        <v>232</v>
      </c>
      <c r="AB16" s="17" t="n">
        <v>6</v>
      </c>
      <c r="AC16" s="16" t="s">
        <v>233</v>
      </c>
      <c r="AD16" s="16"/>
      <c r="AE16" s="16" t="s">
        <v>234</v>
      </c>
      <c r="AF16" s="16" t="s">
        <v>235</v>
      </c>
    </row>
    <row r="17" customFormat="false" ht="57.75" hidden="false" customHeight="true" outlineLevel="0" collapsed="false">
      <c r="A17" s="15" t="s">
        <v>236</v>
      </c>
      <c r="B17" s="16" t="s">
        <v>237</v>
      </c>
      <c r="C17" s="17" t="n">
        <v>2</v>
      </c>
      <c r="D17" s="16" t="s">
        <v>238</v>
      </c>
      <c r="E17" s="17" t="s">
        <v>155</v>
      </c>
      <c r="F17" s="17" t="s">
        <v>97</v>
      </c>
      <c r="G17" s="17" t="s">
        <v>239</v>
      </c>
      <c r="H17" s="17" t="n">
        <v>4</v>
      </c>
      <c r="I17" s="17" t="n">
        <v>8</v>
      </c>
      <c r="J17" s="17" t="n">
        <v>30</v>
      </c>
      <c r="K17" s="17" t="n">
        <v>4</v>
      </c>
      <c r="L17" s="17" t="n">
        <v>8</v>
      </c>
      <c r="M17" s="17" t="n">
        <v>100</v>
      </c>
      <c r="N17" s="17" t="n">
        <v>1</v>
      </c>
      <c r="O17" s="17" t="n">
        <v>2</v>
      </c>
      <c r="P17" s="17" t="s">
        <v>99</v>
      </c>
      <c r="Q17" s="17" t="s">
        <v>240</v>
      </c>
      <c r="R17" s="18" t="n">
        <f aca="false">INDEX(02_Freq_Weight!$E$3:$E$9,MATCH(Q17,02_Freq_Weight!$A$3:$A$9,0))</f>
        <v>0.5675</v>
      </c>
      <c r="S17" s="17" t="n">
        <v>0.05</v>
      </c>
      <c r="T17" s="17" t="n">
        <v>730</v>
      </c>
      <c r="U17" s="19" t="n">
        <v>0.2</v>
      </c>
      <c r="V17" s="19" t="n">
        <v>0.1</v>
      </c>
      <c r="W17" s="16" t="s">
        <v>241</v>
      </c>
      <c r="X17" s="16" t="s">
        <v>103</v>
      </c>
      <c r="Y17" s="16" t="s">
        <v>103</v>
      </c>
      <c r="Z17" s="16" t="s">
        <v>103</v>
      </c>
      <c r="AA17" s="16" t="s">
        <v>103</v>
      </c>
      <c r="AB17" s="17" t="n">
        <v>0</v>
      </c>
      <c r="AC17" s="16" t="s">
        <v>242</v>
      </c>
      <c r="AD17" s="16" t="s">
        <v>243</v>
      </c>
      <c r="AE17" s="16" t="s">
        <v>244</v>
      </c>
      <c r="AF17" s="16" t="s">
        <v>245</v>
      </c>
    </row>
    <row r="18" customFormat="false" ht="57.75" hidden="false" customHeight="true" outlineLevel="0" collapsed="false">
      <c r="A18" s="15" t="s">
        <v>246</v>
      </c>
      <c r="B18" s="16" t="s">
        <v>247</v>
      </c>
      <c r="C18" s="17" t="n">
        <v>2</v>
      </c>
      <c r="D18" s="16" t="s">
        <v>248</v>
      </c>
      <c r="E18" s="17" t="s">
        <v>155</v>
      </c>
      <c r="F18" s="17" t="s">
        <v>97</v>
      </c>
      <c r="G18" s="17" t="s">
        <v>98</v>
      </c>
      <c r="H18" s="17" t="n">
        <v>1</v>
      </c>
      <c r="I18" s="17" t="n">
        <v>2</v>
      </c>
      <c r="J18" s="17" t="n">
        <v>3</v>
      </c>
      <c r="K18" s="17" t="n">
        <v>2</v>
      </c>
      <c r="L18" s="17" t="n">
        <v>4</v>
      </c>
      <c r="M18" s="17" t="n">
        <v>10</v>
      </c>
      <c r="N18" s="17" t="n">
        <v>0</v>
      </c>
      <c r="O18" s="17" t="n">
        <v>0</v>
      </c>
      <c r="P18" s="17" t="s">
        <v>118</v>
      </c>
      <c r="Q18" s="17" t="s">
        <v>119</v>
      </c>
      <c r="R18" s="18" t="n">
        <f aca="false">INDEX(02_Freq_Weight!$E$3:$E$9,MATCH(Q18,02_Freq_Weight!$A$3:$A$9,0))</f>
        <v>0.86</v>
      </c>
      <c r="S18" s="17" t="n">
        <v>0.01</v>
      </c>
      <c r="T18" s="17" t="n">
        <v>90</v>
      </c>
      <c r="U18" s="19" t="n">
        <v>0.05</v>
      </c>
      <c r="V18" s="19" t="n">
        <v>0.1</v>
      </c>
      <c r="W18" s="16" t="s">
        <v>249</v>
      </c>
      <c r="X18" s="16" t="s">
        <v>103</v>
      </c>
      <c r="Y18" s="16" t="s">
        <v>159</v>
      </c>
      <c r="Z18" s="16" t="s">
        <v>103</v>
      </c>
      <c r="AA18" s="16" t="s">
        <v>250</v>
      </c>
      <c r="AB18" s="17" t="n">
        <v>3</v>
      </c>
      <c r="AC18" s="16" t="s">
        <v>251</v>
      </c>
      <c r="AD18" s="16"/>
      <c r="AE18" s="16" t="s">
        <v>252</v>
      </c>
      <c r="AF18" s="16" t="s">
        <v>253</v>
      </c>
    </row>
    <row r="19" customFormat="false" ht="57.75" hidden="false" customHeight="true" outlineLevel="0" collapsed="false">
      <c r="A19" s="20" t="s">
        <v>254</v>
      </c>
      <c r="B19" s="21" t="s">
        <v>255</v>
      </c>
      <c r="C19" s="22" t="n">
        <v>3</v>
      </c>
      <c r="D19" s="21" t="s">
        <v>256</v>
      </c>
      <c r="E19" s="22" t="s">
        <v>96</v>
      </c>
      <c r="F19" s="22" t="s">
        <v>97</v>
      </c>
      <c r="G19" s="22" t="s">
        <v>145</v>
      </c>
      <c r="H19" s="22" t="n">
        <v>2</v>
      </c>
      <c r="I19" s="22" t="n">
        <v>4</v>
      </c>
      <c r="J19" s="22" t="n">
        <v>40</v>
      </c>
      <c r="K19" s="22" t="n">
        <v>4</v>
      </c>
      <c r="L19" s="22" t="n">
        <v>8</v>
      </c>
      <c r="M19" s="22" t="n">
        <v>120</v>
      </c>
      <c r="N19" s="22" t="n">
        <v>0</v>
      </c>
      <c r="O19" s="22" t="n">
        <v>0</v>
      </c>
      <c r="P19" s="22" t="s">
        <v>118</v>
      </c>
      <c r="Q19" s="22" t="s">
        <v>119</v>
      </c>
      <c r="R19" s="23" t="n">
        <f aca="false">INDEX(02_Freq_Weight!$E$3:$E$9,MATCH(Q19,02_Freq_Weight!$A$3:$A$9,0))</f>
        <v>0.86</v>
      </c>
      <c r="S19" s="22" t="n">
        <v>0.3</v>
      </c>
      <c r="T19" s="22" t="n">
        <v>30</v>
      </c>
      <c r="U19" s="24" t="n">
        <v>0.05</v>
      </c>
      <c r="V19" s="24" t="n">
        <v>0.2</v>
      </c>
      <c r="W19" s="21" t="s">
        <v>257</v>
      </c>
      <c r="X19" s="21" t="s">
        <v>103</v>
      </c>
      <c r="Y19" s="21" t="s">
        <v>103</v>
      </c>
      <c r="Z19" s="21" t="s">
        <v>103</v>
      </c>
      <c r="AA19" s="21" t="s">
        <v>103</v>
      </c>
      <c r="AB19" s="22" t="n">
        <v>0</v>
      </c>
      <c r="AC19" s="21" t="s">
        <v>258</v>
      </c>
      <c r="AD19" s="21"/>
      <c r="AE19" s="21" t="s">
        <v>259</v>
      </c>
      <c r="AF19" s="21" t="s">
        <v>260</v>
      </c>
    </row>
    <row r="20" customFormat="false" ht="57.75" hidden="false" customHeight="true" outlineLevel="0" collapsed="false">
      <c r="A20" s="20" t="s">
        <v>261</v>
      </c>
      <c r="B20" s="21" t="s">
        <v>262</v>
      </c>
      <c r="C20" s="22" t="n">
        <v>3</v>
      </c>
      <c r="D20" s="21" t="s">
        <v>263</v>
      </c>
      <c r="E20" s="22" t="s">
        <v>96</v>
      </c>
      <c r="F20" s="22" t="s">
        <v>97</v>
      </c>
      <c r="G20" s="22" t="s">
        <v>145</v>
      </c>
      <c r="H20" s="22" t="n">
        <v>2</v>
      </c>
      <c r="I20" s="22" t="n">
        <v>4</v>
      </c>
      <c r="J20" s="22" t="n">
        <v>100</v>
      </c>
      <c r="K20" s="22" t="n">
        <v>4</v>
      </c>
      <c r="L20" s="22" t="n">
        <v>8</v>
      </c>
      <c r="M20" s="22" t="n">
        <v>300</v>
      </c>
      <c r="N20" s="22" t="n">
        <v>1</v>
      </c>
      <c r="O20" s="22" t="n">
        <v>0.5</v>
      </c>
      <c r="P20" s="22" t="s">
        <v>118</v>
      </c>
      <c r="Q20" s="22" t="s">
        <v>119</v>
      </c>
      <c r="R20" s="23" t="n">
        <f aca="false">INDEX(02_Freq_Weight!$E$3:$E$9,MATCH(Q20,02_Freq_Weight!$A$3:$A$9,0))</f>
        <v>0.86</v>
      </c>
      <c r="S20" s="22" t="n">
        <v>2</v>
      </c>
      <c r="T20" s="22" t="n">
        <v>21</v>
      </c>
      <c r="U20" s="24" t="n">
        <v>0.1</v>
      </c>
      <c r="V20" s="24" t="n">
        <v>0.2</v>
      </c>
      <c r="W20" s="21" t="s">
        <v>264</v>
      </c>
      <c r="X20" s="21" t="s">
        <v>103</v>
      </c>
      <c r="Y20" s="21" t="s">
        <v>103</v>
      </c>
      <c r="Z20" s="21" t="s">
        <v>103</v>
      </c>
      <c r="AA20" s="21" t="s">
        <v>103</v>
      </c>
      <c r="AB20" s="22" t="n">
        <v>0</v>
      </c>
      <c r="AC20" s="21" t="s">
        <v>265</v>
      </c>
      <c r="AD20" s="21" t="s">
        <v>266</v>
      </c>
      <c r="AE20" s="21" t="s">
        <v>267</v>
      </c>
      <c r="AF20" s="21" t="s">
        <v>268</v>
      </c>
    </row>
    <row r="21" customFormat="false" ht="57.75" hidden="false" customHeight="true" outlineLevel="0" collapsed="false">
      <c r="A21" s="20" t="s">
        <v>269</v>
      </c>
      <c r="B21" s="21" t="s">
        <v>270</v>
      </c>
      <c r="C21" s="22" t="n">
        <v>3</v>
      </c>
      <c r="D21" s="21" t="s">
        <v>271</v>
      </c>
      <c r="E21" s="22" t="s">
        <v>155</v>
      </c>
      <c r="F21" s="22" t="s">
        <v>97</v>
      </c>
      <c r="G21" s="22" t="s">
        <v>145</v>
      </c>
      <c r="H21" s="22" t="n">
        <v>1</v>
      </c>
      <c r="I21" s="22" t="n">
        <v>2</v>
      </c>
      <c r="J21" s="22" t="n">
        <v>5</v>
      </c>
      <c r="K21" s="22" t="n">
        <v>2</v>
      </c>
      <c r="L21" s="22" t="n">
        <v>4</v>
      </c>
      <c r="M21" s="22" t="n">
        <v>15</v>
      </c>
      <c r="N21" s="22" t="n">
        <v>0</v>
      </c>
      <c r="O21" s="22" t="n">
        <v>0</v>
      </c>
      <c r="P21" s="22" t="s">
        <v>118</v>
      </c>
      <c r="Q21" s="22" t="s">
        <v>229</v>
      </c>
      <c r="R21" s="23" t="n">
        <f aca="false">INDEX(02_Freq_Weight!$E$3:$E$9,MATCH(Q21,02_Freq_Weight!$A$3:$A$9,0))</f>
        <v>0.7925</v>
      </c>
      <c r="S21" s="22" t="n">
        <v>0.01</v>
      </c>
      <c r="T21" s="22" t="n">
        <v>365</v>
      </c>
      <c r="U21" s="24" t="n">
        <v>0.05</v>
      </c>
      <c r="V21" s="24" t="n">
        <v>0.1</v>
      </c>
      <c r="W21" s="21" t="s">
        <v>272</v>
      </c>
      <c r="X21" s="21" t="s">
        <v>158</v>
      </c>
      <c r="Y21" s="21" t="s">
        <v>200</v>
      </c>
      <c r="Z21" s="21" t="s">
        <v>103</v>
      </c>
      <c r="AA21" s="21" t="s">
        <v>273</v>
      </c>
      <c r="AB21" s="22" t="n">
        <v>2</v>
      </c>
      <c r="AC21" s="21" t="s">
        <v>274</v>
      </c>
      <c r="AD21" s="21"/>
      <c r="AE21" s="21" t="s">
        <v>275</v>
      </c>
      <c r="AF21" s="21" t="s">
        <v>276</v>
      </c>
    </row>
    <row r="22" customFormat="false" ht="57.75" hidden="false" customHeight="true" outlineLevel="0" collapsed="false">
      <c r="A22" s="20" t="s">
        <v>277</v>
      </c>
      <c r="B22" s="21" t="s">
        <v>278</v>
      </c>
      <c r="C22" s="22" t="n">
        <v>3</v>
      </c>
      <c r="D22" s="21" t="s">
        <v>279</v>
      </c>
      <c r="E22" s="22" t="s">
        <v>155</v>
      </c>
      <c r="F22" s="22" t="s">
        <v>97</v>
      </c>
      <c r="G22" s="22" t="s">
        <v>145</v>
      </c>
      <c r="H22" s="22" t="n">
        <v>1</v>
      </c>
      <c r="I22" s="22" t="n">
        <v>2</v>
      </c>
      <c r="J22" s="22" t="n">
        <v>5</v>
      </c>
      <c r="K22" s="22" t="n">
        <v>1</v>
      </c>
      <c r="L22" s="22" t="n">
        <v>2</v>
      </c>
      <c r="M22" s="22" t="n">
        <v>10</v>
      </c>
      <c r="N22" s="22" t="n">
        <v>0</v>
      </c>
      <c r="O22" s="22" t="n">
        <v>0</v>
      </c>
      <c r="P22" s="22" t="s">
        <v>118</v>
      </c>
      <c r="Q22" s="22" t="s">
        <v>229</v>
      </c>
      <c r="R22" s="23" t="n">
        <f aca="false">INDEX(02_Freq_Weight!$E$3:$E$9,MATCH(Q22,02_Freq_Weight!$A$3:$A$9,0))</f>
        <v>0.7925</v>
      </c>
      <c r="S22" s="22" t="n">
        <v>0.01</v>
      </c>
      <c r="T22" s="22" t="n">
        <v>2555</v>
      </c>
      <c r="U22" s="24" t="n">
        <v>0.05</v>
      </c>
      <c r="V22" s="24" t="n">
        <v>0.1</v>
      </c>
      <c r="W22" s="21" t="s">
        <v>280</v>
      </c>
      <c r="X22" s="21" t="s">
        <v>103</v>
      </c>
      <c r="Y22" s="21" t="s">
        <v>200</v>
      </c>
      <c r="Z22" s="21" t="s">
        <v>103</v>
      </c>
      <c r="AA22" s="21" t="s">
        <v>281</v>
      </c>
      <c r="AB22" s="22" t="n">
        <v>2</v>
      </c>
      <c r="AC22" s="21" t="s">
        <v>282</v>
      </c>
      <c r="AD22" s="21"/>
      <c r="AE22" s="21" t="s">
        <v>283</v>
      </c>
      <c r="AF22" s="21" t="s">
        <v>284</v>
      </c>
    </row>
    <row r="23" customFormat="false" ht="57.75" hidden="false" customHeight="true" outlineLevel="0" collapsed="false">
      <c r="A23" s="20" t="s">
        <v>285</v>
      </c>
      <c r="B23" s="21" t="s">
        <v>286</v>
      </c>
      <c r="C23" s="22" t="n">
        <v>3</v>
      </c>
      <c r="D23" s="21" t="s">
        <v>287</v>
      </c>
      <c r="E23" s="22" t="s">
        <v>155</v>
      </c>
      <c r="F23" s="22" t="s">
        <v>97</v>
      </c>
      <c r="G23" s="22" t="s">
        <v>145</v>
      </c>
      <c r="H23" s="22" t="n">
        <v>1</v>
      </c>
      <c r="I23" s="22" t="n">
        <v>2</v>
      </c>
      <c r="J23" s="22" t="n">
        <v>5</v>
      </c>
      <c r="K23" s="22" t="n">
        <v>2</v>
      </c>
      <c r="L23" s="22" t="n">
        <v>4</v>
      </c>
      <c r="M23" s="22" t="n">
        <v>20</v>
      </c>
      <c r="N23" s="22" t="n">
        <v>0</v>
      </c>
      <c r="O23" s="22" t="n">
        <v>0</v>
      </c>
      <c r="P23" s="22" t="s">
        <v>118</v>
      </c>
      <c r="Q23" s="22" t="s">
        <v>229</v>
      </c>
      <c r="R23" s="23" t="n">
        <f aca="false">INDEX(02_Freq_Weight!$E$3:$E$9,MATCH(Q23,02_Freq_Weight!$A$3:$A$9,0))</f>
        <v>0.7925</v>
      </c>
      <c r="S23" s="22" t="n">
        <v>0.02</v>
      </c>
      <c r="T23" s="22" t="n">
        <v>2555</v>
      </c>
      <c r="U23" s="24" t="n">
        <v>0.05</v>
      </c>
      <c r="V23" s="24" t="n">
        <v>0.15</v>
      </c>
      <c r="W23" s="21" t="s">
        <v>288</v>
      </c>
      <c r="X23" s="21" t="s">
        <v>220</v>
      </c>
      <c r="Y23" s="21" t="s">
        <v>200</v>
      </c>
      <c r="Z23" s="21" t="s">
        <v>103</v>
      </c>
      <c r="AA23" s="21" t="s">
        <v>221</v>
      </c>
      <c r="AB23" s="22" t="n">
        <v>3</v>
      </c>
      <c r="AC23" s="21" t="s">
        <v>289</v>
      </c>
      <c r="AD23" s="21"/>
      <c r="AE23" s="21" t="s">
        <v>290</v>
      </c>
      <c r="AF23" s="21" t="s">
        <v>291</v>
      </c>
    </row>
    <row r="24" customFormat="false" ht="57.75" hidden="false" customHeight="true" outlineLevel="0" collapsed="false">
      <c r="A24" s="25" t="s">
        <v>292</v>
      </c>
      <c r="B24" s="26" t="s">
        <v>293</v>
      </c>
      <c r="C24" s="27" t="n">
        <v>4</v>
      </c>
      <c r="D24" s="26" t="s">
        <v>294</v>
      </c>
      <c r="E24" s="27" t="s">
        <v>96</v>
      </c>
      <c r="F24" s="27" t="s">
        <v>97</v>
      </c>
      <c r="G24" s="27" t="s">
        <v>98</v>
      </c>
      <c r="H24" s="27" t="n">
        <v>2</v>
      </c>
      <c r="I24" s="27" t="n">
        <v>4</v>
      </c>
      <c r="J24" s="27" t="n">
        <v>20</v>
      </c>
      <c r="K24" s="27" t="n">
        <v>4</v>
      </c>
      <c r="L24" s="27" t="n">
        <v>8</v>
      </c>
      <c r="M24" s="27" t="n">
        <v>60</v>
      </c>
      <c r="N24" s="27" t="n">
        <v>0</v>
      </c>
      <c r="O24" s="27" t="n">
        <v>0</v>
      </c>
      <c r="P24" s="27" t="s">
        <v>118</v>
      </c>
      <c r="Q24" s="27" t="s">
        <v>119</v>
      </c>
      <c r="R24" s="28" t="n">
        <f aca="false">INDEX(02_Freq_Weight!$E$3:$E$9,MATCH(Q24,02_Freq_Weight!$A$3:$A$9,0))</f>
        <v>0.86</v>
      </c>
      <c r="S24" s="27" t="n">
        <v>0.1</v>
      </c>
      <c r="T24" s="27" t="n">
        <v>90</v>
      </c>
      <c r="U24" s="29" t="n">
        <v>0.05</v>
      </c>
      <c r="V24" s="29" t="n">
        <v>0.15</v>
      </c>
      <c r="W24" s="26" t="s">
        <v>295</v>
      </c>
      <c r="X24" s="26" t="s">
        <v>103</v>
      </c>
      <c r="Y24" s="26" t="s">
        <v>159</v>
      </c>
      <c r="Z24" s="26" t="s">
        <v>103</v>
      </c>
      <c r="AA24" s="26" t="s">
        <v>250</v>
      </c>
      <c r="AB24" s="27" t="n">
        <v>3</v>
      </c>
      <c r="AC24" s="26" t="s">
        <v>296</v>
      </c>
      <c r="AD24" s="26"/>
      <c r="AE24" s="26" t="s">
        <v>297</v>
      </c>
      <c r="AF24" s="26" t="s">
        <v>298</v>
      </c>
    </row>
    <row r="25" customFormat="false" ht="57.75" hidden="false" customHeight="true" outlineLevel="0" collapsed="false">
      <c r="A25" s="25" t="s">
        <v>299</v>
      </c>
      <c r="B25" s="26" t="s">
        <v>300</v>
      </c>
      <c r="C25" s="27" t="n">
        <v>4</v>
      </c>
      <c r="D25" s="26" t="s">
        <v>301</v>
      </c>
      <c r="E25" s="27" t="s">
        <v>96</v>
      </c>
      <c r="F25" s="27" t="s">
        <v>97</v>
      </c>
      <c r="G25" s="27" t="s">
        <v>98</v>
      </c>
      <c r="H25" s="27" t="n">
        <v>4</v>
      </c>
      <c r="I25" s="27" t="n">
        <v>8</v>
      </c>
      <c r="J25" s="27" t="n">
        <v>40</v>
      </c>
      <c r="K25" s="27" t="n">
        <v>4</v>
      </c>
      <c r="L25" s="27" t="n">
        <v>8</v>
      </c>
      <c r="M25" s="27" t="n">
        <v>100</v>
      </c>
      <c r="N25" s="27" t="n">
        <v>0</v>
      </c>
      <c r="O25" s="27" t="n">
        <v>0</v>
      </c>
      <c r="P25" s="27" t="s">
        <v>118</v>
      </c>
      <c r="Q25" s="27" t="s">
        <v>229</v>
      </c>
      <c r="R25" s="28" t="n">
        <f aca="false">INDEX(02_Freq_Weight!$E$3:$E$9,MATCH(Q25,02_Freq_Weight!$A$3:$A$9,0))</f>
        <v>0.7925</v>
      </c>
      <c r="S25" s="27" t="n">
        <v>0.15</v>
      </c>
      <c r="T25" s="27" t="n">
        <v>90</v>
      </c>
      <c r="U25" s="29" t="n">
        <v>0.05</v>
      </c>
      <c r="V25" s="29" t="n">
        <v>0.15</v>
      </c>
      <c r="W25" s="26" t="s">
        <v>302</v>
      </c>
      <c r="X25" s="26" t="s">
        <v>103</v>
      </c>
      <c r="Y25" s="26" t="s">
        <v>303</v>
      </c>
      <c r="Z25" s="26" t="s">
        <v>103</v>
      </c>
      <c r="AA25" s="26" t="s">
        <v>304</v>
      </c>
      <c r="AB25" s="27" t="n">
        <v>1</v>
      </c>
      <c r="AC25" s="26" t="s">
        <v>305</v>
      </c>
      <c r="AD25" s="26"/>
      <c r="AE25" s="26" t="s">
        <v>306</v>
      </c>
      <c r="AF25" s="26" t="s">
        <v>307</v>
      </c>
    </row>
    <row r="26" customFormat="false" ht="57.75" hidden="false" customHeight="true" outlineLevel="0" collapsed="false">
      <c r="A26" s="25" t="s">
        <v>308</v>
      </c>
      <c r="B26" s="26" t="s">
        <v>309</v>
      </c>
      <c r="C26" s="27" t="n">
        <v>4</v>
      </c>
      <c r="D26" s="26" t="s">
        <v>310</v>
      </c>
      <c r="E26" s="27" t="s">
        <v>155</v>
      </c>
      <c r="F26" s="27" t="s">
        <v>97</v>
      </c>
      <c r="G26" s="27" t="s">
        <v>145</v>
      </c>
      <c r="H26" s="27" t="n">
        <v>2</v>
      </c>
      <c r="I26" s="27" t="n">
        <v>4</v>
      </c>
      <c r="J26" s="27" t="n">
        <v>20</v>
      </c>
      <c r="K26" s="27" t="n">
        <v>4</v>
      </c>
      <c r="L26" s="27" t="n">
        <v>8</v>
      </c>
      <c r="M26" s="27" t="n">
        <v>60</v>
      </c>
      <c r="N26" s="27" t="n">
        <v>0</v>
      </c>
      <c r="O26" s="27" t="n">
        <v>0</v>
      </c>
      <c r="P26" s="27" t="s">
        <v>217</v>
      </c>
      <c r="Q26" s="27" t="s">
        <v>218</v>
      </c>
      <c r="R26" s="28" t="n">
        <f aca="false">INDEX(02_Freq_Weight!$E$3:$E$9,MATCH(Q26,02_Freq_Weight!$A$3:$A$9,0))</f>
        <v>0.6575</v>
      </c>
      <c r="S26" s="27" t="n">
        <v>0.15</v>
      </c>
      <c r="T26" s="27" t="n">
        <v>730</v>
      </c>
      <c r="U26" s="29" t="n">
        <v>0.1</v>
      </c>
      <c r="V26" s="29" t="n">
        <v>0.15</v>
      </c>
      <c r="W26" s="26" t="s">
        <v>311</v>
      </c>
      <c r="X26" s="26" t="s">
        <v>101</v>
      </c>
      <c r="Y26" s="26" t="s">
        <v>200</v>
      </c>
      <c r="Z26" s="26" t="s">
        <v>103</v>
      </c>
      <c r="AA26" s="26" t="s">
        <v>312</v>
      </c>
      <c r="AB26" s="27" t="n">
        <v>6</v>
      </c>
      <c r="AC26" s="26" t="s">
        <v>313</v>
      </c>
      <c r="AD26" s="26" t="s">
        <v>314</v>
      </c>
      <c r="AE26" s="26" t="s">
        <v>315</v>
      </c>
      <c r="AF26" s="26" t="s">
        <v>316</v>
      </c>
    </row>
    <row r="27" customFormat="false" ht="57.75" hidden="false" customHeight="true" outlineLevel="0" collapsed="false">
      <c r="A27" s="25" t="s">
        <v>317</v>
      </c>
      <c r="B27" s="26" t="s">
        <v>318</v>
      </c>
      <c r="C27" s="27" t="n">
        <v>4</v>
      </c>
      <c r="D27" s="26" t="s">
        <v>310</v>
      </c>
      <c r="E27" s="27" t="s">
        <v>155</v>
      </c>
      <c r="F27" s="27" t="s">
        <v>97</v>
      </c>
      <c r="G27" s="27" t="s">
        <v>98</v>
      </c>
      <c r="H27" s="27" t="n">
        <v>2</v>
      </c>
      <c r="I27" s="27" t="n">
        <v>2</v>
      </c>
      <c r="J27" s="27" t="n">
        <v>10</v>
      </c>
      <c r="K27" s="27" t="n">
        <v>2</v>
      </c>
      <c r="L27" s="27" t="n">
        <v>4</v>
      </c>
      <c r="M27" s="27" t="n">
        <v>20</v>
      </c>
      <c r="N27" s="27" t="n">
        <v>0</v>
      </c>
      <c r="O27" s="27" t="n">
        <v>0</v>
      </c>
      <c r="P27" s="27" t="s">
        <v>217</v>
      </c>
      <c r="Q27" s="27" t="s">
        <v>218</v>
      </c>
      <c r="R27" s="28" t="n">
        <f aca="false">INDEX(02_Freq_Weight!$E$3:$E$9,MATCH(Q27,02_Freq_Weight!$A$3:$A$9,0))</f>
        <v>0.6575</v>
      </c>
      <c r="S27" s="27" t="n">
        <v>0.05</v>
      </c>
      <c r="T27" s="27" t="n">
        <v>365</v>
      </c>
      <c r="U27" s="29" t="n">
        <v>0.05</v>
      </c>
      <c r="V27" s="29" t="n">
        <v>0.15</v>
      </c>
      <c r="W27" s="26" t="s">
        <v>319</v>
      </c>
      <c r="X27" s="26" t="s">
        <v>320</v>
      </c>
      <c r="Y27" s="26" t="s">
        <v>200</v>
      </c>
      <c r="Z27" s="26" t="s">
        <v>170</v>
      </c>
      <c r="AA27" s="26" t="s">
        <v>321</v>
      </c>
      <c r="AB27" s="27" t="n">
        <v>11</v>
      </c>
      <c r="AC27" s="26" t="s">
        <v>322</v>
      </c>
      <c r="AD27" s="26"/>
      <c r="AE27" s="26" t="s">
        <v>323</v>
      </c>
      <c r="AF27" s="26" t="s">
        <v>324</v>
      </c>
    </row>
    <row r="28" customFormat="false" ht="57.75" hidden="false" customHeight="true" outlineLevel="0" collapsed="false">
      <c r="A28" s="25" t="s">
        <v>325</v>
      </c>
      <c r="B28" s="26" t="s">
        <v>326</v>
      </c>
      <c r="C28" s="27" t="n">
        <v>4</v>
      </c>
      <c r="D28" s="26" t="s">
        <v>327</v>
      </c>
      <c r="E28" s="27" t="s">
        <v>155</v>
      </c>
      <c r="F28" s="27" t="s">
        <v>97</v>
      </c>
      <c r="G28" s="27" t="s">
        <v>98</v>
      </c>
      <c r="H28" s="27" t="n">
        <v>4</v>
      </c>
      <c r="I28" s="27" t="n">
        <v>8</v>
      </c>
      <c r="J28" s="27" t="n">
        <v>20</v>
      </c>
      <c r="K28" s="27" t="n">
        <v>8</v>
      </c>
      <c r="L28" s="27" t="n">
        <v>16</v>
      </c>
      <c r="M28" s="27" t="n">
        <v>60</v>
      </c>
      <c r="N28" s="27" t="n">
        <v>0</v>
      </c>
      <c r="O28" s="27" t="n">
        <v>0</v>
      </c>
      <c r="P28" s="27" t="s">
        <v>328</v>
      </c>
      <c r="Q28" s="27" t="s">
        <v>240</v>
      </c>
      <c r="R28" s="28" t="n">
        <f aca="false">INDEX(02_Freq_Weight!$E$3:$E$9,MATCH(Q28,02_Freq_Weight!$A$3:$A$9,0))</f>
        <v>0.5675</v>
      </c>
      <c r="S28" s="27" t="n">
        <v>0.05</v>
      </c>
      <c r="T28" s="27" t="n">
        <v>365</v>
      </c>
      <c r="U28" s="29" t="n">
        <v>0.1</v>
      </c>
      <c r="V28" s="29" t="n">
        <v>0.15</v>
      </c>
      <c r="W28" s="26" t="s">
        <v>329</v>
      </c>
      <c r="X28" s="26" t="s">
        <v>103</v>
      </c>
      <c r="Y28" s="26" t="s">
        <v>303</v>
      </c>
      <c r="Z28" s="26" t="s">
        <v>330</v>
      </c>
      <c r="AA28" s="26" t="s">
        <v>103</v>
      </c>
      <c r="AB28" s="27" t="n">
        <v>1</v>
      </c>
      <c r="AC28" s="26" t="s">
        <v>331</v>
      </c>
      <c r="AD28" s="26" t="s">
        <v>332</v>
      </c>
      <c r="AE28" s="26" t="s">
        <v>333</v>
      </c>
      <c r="AF28" s="26" t="s">
        <v>334</v>
      </c>
    </row>
    <row r="29" customFormat="false" ht="57.75" hidden="false" customHeight="true" outlineLevel="0" collapsed="false">
      <c r="A29" s="25" t="s">
        <v>335</v>
      </c>
      <c r="B29" s="26" t="s">
        <v>336</v>
      </c>
      <c r="C29" s="27" t="n">
        <v>4</v>
      </c>
      <c r="D29" s="26" t="s">
        <v>337</v>
      </c>
      <c r="E29" s="27" t="s">
        <v>155</v>
      </c>
      <c r="F29" s="27" t="s">
        <v>97</v>
      </c>
      <c r="G29" s="27" t="s">
        <v>145</v>
      </c>
      <c r="H29" s="27" t="n">
        <v>2</v>
      </c>
      <c r="I29" s="27" t="n">
        <v>4</v>
      </c>
      <c r="J29" s="27" t="n">
        <v>15</v>
      </c>
      <c r="K29" s="27" t="n">
        <v>4</v>
      </c>
      <c r="L29" s="27" t="n">
        <v>8</v>
      </c>
      <c r="M29" s="27" t="n">
        <v>40</v>
      </c>
      <c r="N29" s="27" t="n">
        <v>0</v>
      </c>
      <c r="O29" s="27" t="n">
        <v>0</v>
      </c>
      <c r="P29" s="27" t="s">
        <v>217</v>
      </c>
      <c r="Q29" s="27" t="s">
        <v>218</v>
      </c>
      <c r="R29" s="28" t="n">
        <f aca="false">INDEX(02_Freq_Weight!$E$3:$E$9,MATCH(Q29,02_Freq_Weight!$A$3:$A$9,0))</f>
        <v>0.6575</v>
      </c>
      <c r="S29" s="27" t="n">
        <v>0.05</v>
      </c>
      <c r="T29" s="27" t="n">
        <v>365</v>
      </c>
      <c r="U29" s="29" t="n">
        <v>0.05</v>
      </c>
      <c r="V29" s="29" t="n">
        <v>0.1</v>
      </c>
      <c r="W29" s="26" t="s">
        <v>338</v>
      </c>
      <c r="X29" s="26" t="s">
        <v>339</v>
      </c>
      <c r="Y29" s="26" t="s">
        <v>303</v>
      </c>
      <c r="Z29" s="26" t="s">
        <v>340</v>
      </c>
      <c r="AA29" s="26" t="s">
        <v>304</v>
      </c>
      <c r="AB29" s="27" t="n">
        <v>2</v>
      </c>
      <c r="AC29" s="26" t="s">
        <v>341</v>
      </c>
      <c r="AD29" s="26"/>
      <c r="AE29" s="26" t="s">
        <v>342</v>
      </c>
      <c r="AF29" s="26" t="s">
        <v>343</v>
      </c>
    </row>
    <row r="30" customFormat="false" ht="57.75" hidden="false" customHeight="true" outlineLevel="0" collapsed="false">
      <c r="A30" s="25" t="s">
        <v>344</v>
      </c>
      <c r="B30" s="26" t="s">
        <v>345</v>
      </c>
      <c r="C30" s="27" t="n">
        <v>4</v>
      </c>
      <c r="D30" s="26" t="s">
        <v>346</v>
      </c>
      <c r="E30" s="27" t="s">
        <v>155</v>
      </c>
      <c r="F30" s="27" t="s">
        <v>97</v>
      </c>
      <c r="G30" s="27" t="s">
        <v>239</v>
      </c>
      <c r="H30" s="27" t="n">
        <v>1</v>
      </c>
      <c r="I30" s="27" t="n">
        <v>2</v>
      </c>
      <c r="J30" s="27" t="n">
        <v>5</v>
      </c>
      <c r="K30" s="27" t="n">
        <v>2</v>
      </c>
      <c r="L30" s="27" t="n">
        <v>2</v>
      </c>
      <c r="M30" s="27" t="n">
        <v>10</v>
      </c>
      <c r="N30" s="27" t="n">
        <v>0</v>
      </c>
      <c r="O30" s="27" t="n">
        <v>0</v>
      </c>
      <c r="P30" s="27" t="s">
        <v>217</v>
      </c>
      <c r="Q30" s="27" t="s">
        <v>240</v>
      </c>
      <c r="R30" s="28" t="n">
        <f aca="false">INDEX(02_Freq_Weight!$E$3:$E$9,MATCH(Q30,02_Freq_Weight!$A$3:$A$9,0))</f>
        <v>0.5675</v>
      </c>
      <c r="S30" s="27" t="n">
        <v>0.01</v>
      </c>
      <c r="T30" s="27" t="n">
        <v>365</v>
      </c>
      <c r="U30" s="29" t="n">
        <v>0.05</v>
      </c>
      <c r="V30" s="29" t="n">
        <v>0.1</v>
      </c>
      <c r="W30" s="26" t="s">
        <v>347</v>
      </c>
      <c r="X30" s="26" t="s">
        <v>169</v>
      </c>
      <c r="Y30" s="26" t="s">
        <v>200</v>
      </c>
      <c r="Z30" s="26" t="s">
        <v>348</v>
      </c>
      <c r="AA30" s="26" t="s">
        <v>349</v>
      </c>
      <c r="AB30" s="27" t="n">
        <v>5</v>
      </c>
      <c r="AC30" s="26" t="s">
        <v>350</v>
      </c>
      <c r="AD30" s="26"/>
      <c r="AE30" s="26" t="s">
        <v>351</v>
      </c>
      <c r="AF30" s="26" t="s">
        <v>352</v>
      </c>
    </row>
    <row r="31" customFormat="false" ht="57.75" hidden="false" customHeight="true" outlineLevel="0" collapsed="false">
      <c r="A31" s="30" t="s">
        <v>353</v>
      </c>
      <c r="B31" s="31" t="s">
        <v>354</v>
      </c>
      <c r="C31" s="32" t="n">
        <v>5</v>
      </c>
      <c r="D31" s="31" t="s">
        <v>355</v>
      </c>
      <c r="E31" s="32" t="s">
        <v>96</v>
      </c>
      <c r="F31" s="32" t="s">
        <v>97</v>
      </c>
      <c r="G31" s="32" t="s">
        <v>145</v>
      </c>
      <c r="H31" s="32" t="n">
        <v>2</v>
      </c>
      <c r="I31" s="32" t="n">
        <v>4</v>
      </c>
      <c r="J31" s="32" t="n">
        <v>60</v>
      </c>
      <c r="K31" s="32" t="n">
        <v>4</v>
      </c>
      <c r="L31" s="32" t="n">
        <v>8</v>
      </c>
      <c r="M31" s="32" t="n">
        <v>200</v>
      </c>
      <c r="N31" s="32" t="n">
        <v>1</v>
      </c>
      <c r="O31" s="32" t="n">
        <v>3</v>
      </c>
      <c r="P31" s="32" t="s">
        <v>99</v>
      </c>
      <c r="Q31" s="32" t="s">
        <v>99</v>
      </c>
      <c r="R31" s="33" t="n">
        <f aca="false">INDEX(02_Freq_Weight!$E$3:$E$9,MATCH(Q31,02_Freq_Weight!$A$3:$A$9,0))</f>
        <v>0.95</v>
      </c>
      <c r="S31" s="32" t="n">
        <v>1</v>
      </c>
      <c r="T31" s="32" t="n">
        <v>180</v>
      </c>
      <c r="U31" s="34" t="n">
        <v>0.2</v>
      </c>
      <c r="V31" s="34" t="n">
        <v>0.25</v>
      </c>
      <c r="W31" s="31" t="s">
        <v>356</v>
      </c>
      <c r="X31" s="31" t="s">
        <v>101</v>
      </c>
      <c r="Y31" s="31" t="s">
        <v>147</v>
      </c>
      <c r="Z31" s="31" t="s">
        <v>103</v>
      </c>
      <c r="AA31" s="31" t="s">
        <v>357</v>
      </c>
      <c r="AB31" s="32" t="n">
        <v>10</v>
      </c>
      <c r="AC31" s="31" t="s">
        <v>358</v>
      </c>
      <c r="AD31" s="31" t="s">
        <v>359</v>
      </c>
      <c r="AE31" s="31" t="s">
        <v>360</v>
      </c>
      <c r="AF31" s="31" t="s">
        <v>361</v>
      </c>
    </row>
    <row r="32" customFormat="false" ht="57.75" hidden="false" customHeight="true" outlineLevel="0" collapsed="false">
      <c r="A32" s="30" t="s">
        <v>362</v>
      </c>
      <c r="B32" s="31" t="s">
        <v>363</v>
      </c>
      <c r="C32" s="32" t="n">
        <v>5</v>
      </c>
      <c r="D32" s="31" t="s">
        <v>364</v>
      </c>
      <c r="E32" s="32" t="s">
        <v>96</v>
      </c>
      <c r="F32" s="32" t="s">
        <v>97</v>
      </c>
      <c r="G32" s="32" t="s">
        <v>365</v>
      </c>
      <c r="H32" s="32" t="n">
        <v>2</v>
      </c>
      <c r="I32" s="32" t="n">
        <v>4</v>
      </c>
      <c r="J32" s="32" t="n">
        <v>20</v>
      </c>
      <c r="K32" s="32" t="n">
        <v>4</v>
      </c>
      <c r="L32" s="32" t="n">
        <v>8</v>
      </c>
      <c r="M32" s="32" t="n">
        <v>500</v>
      </c>
      <c r="N32" s="32" t="n">
        <v>1</v>
      </c>
      <c r="O32" s="32" t="n">
        <v>1.5</v>
      </c>
      <c r="P32" s="32" t="s">
        <v>99</v>
      </c>
      <c r="Q32" s="32" t="s">
        <v>99</v>
      </c>
      <c r="R32" s="33" t="n">
        <f aca="false">INDEX(02_Freq_Weight!$E$3:$E$9,MATCH(Q32,02_Freq_Weight!$A$3:$A$9,0))</f>
        <v>0.95</v>
      </c>
      <c r="S32" s="32" t="n">
        <v>1</v>
      </c>
      <c r="T32" s="32" t="n">
        <v>180</v>
      </c>
      <c r="U32" s="34" t="n">
        <v>0.15</v>
      </c>
      <c r="V32" s="34" t="n">
        <v>0.25</v>
      </c>
      <c r="W32" s="31" t="s">
        <v>366</v>
      </c>
      <c r="X32" s="31" t="s">
        <v>367</v>
      </c>
      <c r="Y32" s="31" t="s">
        <v>147</v>
      </c>
      <c r="Z32" s="31" t="s">
        <v>368</v>
      </c>
      <c r="AA32" s="31" t="s">
        <v>369</v>
      </c>
      <c r="AB32" s="32" t="n">
        <v>12</v>
      </c>
      <c r="AC32" s="31" t="s">
        <v>370</v>
      </c>
      <c r="AD32" s="31"/>
      <c r="AE32" s="31" t="s">
        <v>371</v>
      </c>
      <c r="AF32" s="31" t="s">
        <v>372</v>
      </c>
    </row>
    <row r="33" customFormat="false" ht="57.75" hidden="false" customHeight="true" outlineLevel="0" collapsed="false">
      <c r="A33" s="30" t="s">
        <v>373</v>
      </c>
      <c r="B33" s="31" t="s">
        <v>374</v>
      </c>
      <c r="C33" s="32" t="n">
        <v>5</v>
      </c>
      <c r="D33" s="31" t="s">
        <v>375</v>
      </c>
      <c r="E33" s="32" t="s">
        <v>96</v>
      </c>
      <c r="F33" s="32" t="s">
        <v>97</v>
      </c>
      <c r="G33" s="32" t="s">
        <v>376</v>
      </c>
      <c r="H33" s="32" t="n">
        <v>2</v>
      </c>
      <c r="I33" s="32" t="n">
        <v>4</v>
      </c>
      <c r="J33" s="32" t="n">
        <v>40</v>
      </c>
      <c r="K33" s="32" t="n">
        <v>8</v>
      </c>
      <c r="L33" s="32" t="n">
        <v>16</v>
      </c>
      <c r="M33" s="32" t="n">
        <v>500</v>
      </c>
      <c r="N33" s="32" t="n">
        <v>1</v>
      </c>
      <c r="O33" s="32" t="n">
        <v>3.5</v>
      </c>
      <c r="P33" s="32" t="s">
        <v>99</v>
      </c>
      <c r="Q33" s="32" t="s">
        <v>99</v>
      </c>
      <c r="R33" s="33" t="n">
        <f aca="false">INDEX(02_Freq_Weight!$E$3:$E$9,MATCH(Q33,02_Freq_Weight!$A$3:$A$9,0))</f>
        <v>0.95</v>
      </c>
      <c r="S33" s="32" t="n">
        <v>1.5</v>
      </c>
      <c r="T33" s="32" t="n">
        <v>90</v>
      </c>
      <c r="U33" s="34" t="n">
        <v>0.45</v>
      </c>
      <c r="V33" s="34" t="n">
        <v>0.3</v>
      </c>
      <c r="W33" s="31" t="s">
        <v>377</v>
      </c>
      <c r="X33" s="31" t="s">
        <v>378</v>
      </c>
      <c r="Y33" s="31" t="s">
        <v>147</v>
      </c>
      <c r="Z33" s="31" t="s">
        <v>379</v>
      </c>
      <c r="AA33" s="31" t="s">
        <v>380</v>
      </c>
      <c r="AB33" s="32" t="n">
        <v>12</v>
      </c>
      <c r="AC33" s="31" t="s">
        <v>381</v>
      </c>
      <c r="AD33" s="31"/>
      <c r="AE33" s="31" t="s">
        <v>382</v>
      </c>
      <c r="AF33" s="31" t="s">
        <v>383</v>
      </c>
    </row>
    <row r="34" customFormat="false" ht="57.75" hidden="false" customHeight="true" outlineLevel="0" collapsed="false">
      <c r="A34" s="30" t="s">
        <v>384</v>
      </c>
      <c r="B34" s="31" t="s">
        <v>385</v>
      </c>
      <c r="C34" s="32" t="n">
        <v>5</v>
      </c>
      <c r="D34" s="31" t="s">
        <v>386</v>
      </c>
      <c r="E34" s="32" t="s">
        <v>155</v>
      </c>
      <c r="F34" s="32" t="s">
        <v>97</v>
      </c>
      <c r="G34" s="32" t="s">
        <v>376</v>
      </c>
      <c r="H34" s="32" t="n">
        <v>2</v>
      </c>
      <c r="I34" s="32" t="n">
        <v>4</v>
      </c>
      <c r="J34" s="32" t="n">
        <v>15</v>
      </c>
      <c r="K34" s="32" t="n">
        <v>2</v>
      </c>
      <c r="L34" s="32" t="n">
        <v>4</v>
      </c>
      <c r="M34" s="32" t="n">
        <v>40</v>
      </c>
      <c r="N34" s="32" t="n">
        <v>1</v>
      </c>
      <c r="O34" s="32" t="n">
        <v>1.5</v>
      </c>
      <c r="P34" s="32" t="s">
        <v>99</v>
      </c>
      <c r="Q34" s="32" t="s">
        <v>99</v>
      </c>
      <c r="R34" s="33" t="n">
        <f aca="false">INDEX(02_Freq_Weight!$E$3:$E$9,MATCH(Q34,02_Freq_Weight!$A$3:$A$9,0))</f>
        <v>0.95</v>
      </c>
      <c r="S34" s="32" t="n">
        <v>0.1</v>
      </c>
      <c r="T34" s="32" t="n">
        <v>30</v>
      </c>
      <c r="U34" s="34" t="n">
        <v>0.05</v>
      </c>
      <c r="V34" s="34" t="n">
        <v>0.2</v>
      </c>
      <c r="W34" s="31" t="s">
        <v>387</v>
      </c>
      <c r="X34" s="31" t="s">
        <v>378</v>
      </c>
      <c r="Y34" s="31" t="s">
        <v>200</v>
      </c>
      <c r="Z34" s="31" t="s">
        <v>103</v>
      </c>
      <c r="AA34" s="31" t="s">
        <v>388</v>
      </c>
      <c r="AB34" s="32" t="n">
        <v>7</v>
      </c>
      <c r="AC34" s="31" t="s">
        <v>389</v>
      </c>
      <c r="AD34" s="31"/>
      <c r="AE34" s="31" t="s">
        <v>390</v>
      </c>
      <c r="AF34" s="31" t="s">
        <v>391</v>
      </c>
    </row>
    <row r="35" customFormat="false" ht="57.75" hidden="false" customHeight="true" outlineLevel="0" collapsed="false">
      <c r="A35" s="30" t="s">
        <v>392</v>
      </c>
      <c r="B35" s="31" t="s">
        <v>393</v>
      </c>
      <c r="C35" s="32" t="n">
        <v>5</v>
      </c>
      <c r="D35" s="31" t="s">
        <v>394</v>
      </c>
      <c r="E35" s="32" t="s">
        <v>96</v>
      </c>
      <c r="F35" s="32" t="s">
        <v>97</v>
      </c>
      <c r="G35" s="32" t="s">
        <v>376</v>
      </c>
      <c r="H35" s="32" t="n">
        <v>1</v>
      </c>
      <c r="I35" s="32" t="n">
        <v>2</v>
      </c>
      <c r="J35" s="32" t="n">
        <v>10</v>
      </c>
      <c r="K35" s="32" t="n">
        <v>2</v>
      </c>
      <c r="L35" s="32" t="n">
        <v>4</v>
      </c>
      <c r="M35" s="32" t="n">
        <v>30</v>
      </c>
      <c r="N35" s="32" t="n">
        <v>1</v>
      </c>
      <c r="O35" s="32" t="n">
        <v>1.2</v>
      </c>
      <c r="P35" s="32" t="s">
        <v>99</v>
      </c>
      <c r="Q35" s="32" t="s">
        <v>99</v>
      </c>
      <c r="R35" s="33" t="n">
        <f aca="false">INDEX(02_Freq_Weight!$E$3:$E$9,MATCH(Q35,02_Freq_Weight!$A$3:$A$9,0))</f>
        <v>0.95</v>
      </c>
      <c r="S35" s="32" t="n">
        <v>0.05</v>
      </c>
      <c r="T35" s="32" t="n">
        <v>90</v>
      </c>
      <c r="U35" s="34" t="n">
        <v>0.05</v>
      </c>
      <c r="V35" s="34" t="n">
        <v>0.15</v>
      </c>
      <c r="W35" s="31" t="s">
        <v>377</v>
      </c>
      <c r="X35" s="31" t="s">
        <v>378</v>
      </c>
      <c r="Y35" s="31" t="s">
        <v>147</v>
      </c>
      <c r="Z35" s="31" t="s">
        <v>379</v>
      </c>
      <c r="AA35" s="31" t="s">
        <v>380</v>
      </c>
      <c r="AB35" s="32" t="n">
        <v>12</v>
      </c>
      <c r="AC35" s="31" t="s">
        <v>395</v>
      </c>
      <c r="AD35" s="31"/>
      <c r="AE35" s="31" t="s">
        <v>396</v>
      </c>
      <c r="AF35" s="31" t="s">
        <v>397</v>
      </c>
    </row>
    <row r="36" customFormat="false" ht="57.75" hidden="false" customHeight="true" outlineLevel="0" collapsed="false">
      <c r="A36" s="30" t="s">
        <v>398</v>
      </c>
      <c r="B36" s="31" t="s">
        <v>399</v>
      </c>
      <c r="C36" s="32" t="n">
        <v>5</v>
      </c>
      <c r="D36" s="31" t="s">
        <v>400</v>
      </c>
      <c r="E36" s="32" t="s">
        <v>96</v>
      </c>
      <c r="F36" s="32" t="s">
        <v>97</v>
      </c>
      <c r="G36" s="32" t="s">
        <v>376</v>
      </c>
      <c r="H36" s="32" t="n">
        <v>1</v>
      </c>
      <c r="I36" s="32" t="n">
        <v>1</v>
      </c>
      <c r="J36" s="32" t="n">
        <v>5</v>
      </c>
      <c r="K36" s="32" t="n">
        <v>1</v>
      </c>
      <c r="L36" s="32" t="n">
        <v>1</v>
      </c>
      <c r="M36" s="32" t="n">
        <v>10</v>
      </c>
      <c r="N36" s="32" t="n">
        <v>1</v>
      </c>
      <c r="O36" s="32" t="n">
        <v>0.15</v>
      </c>
      <c r="P36" s="32" t="s">
        <v>99</v>
      </c>
      <c r="Q36" s="32" t="s">
        <v>99</v>
      </c>
      <c r="R36" s="33" t="n">
        <f aca="false">INDEX(02_Freq_Weight!$E$3:$E$9,MATCH(Q36,02_Freq_Weight!$A$3:$A$9,0))</f>
        <v>0.95</v>
      </c>
      <c r="S36" s="32" t="n">
        <v>0.02</v>
      </c>
      <c r="T36" s="32" t="n">
        <v>7</v>
      </c>
      <c r="U36" s="34" t="n">
        <v>0.05</v>
      </c>
      <c r="V36" s="34" t="n">
        <v>0.2</v>
      </c>
      <c r="W36" s="31" t="s">
        <v>387</v>
      </c>
      <c r="X36" s="31" t="s">
        <v>378</v>
      </c>
      <c r="Y36" s="31" t="s">
        <v>200</v>
      </c>
      <c r="Z36" s="31" t="s">
        <v>103</v>
      </c>
      <c r="AA36" s="31" t="s">
        <v>388</v>
      </c>
      <c r="AB36" s="32" t="n">
        <v>7</v>
      </c>
      <c r="AC36" s="31" t="s">
        <v>401</v>
      </c>
      <c r="AD36" s="31"/>
      <c r="AE36" s="31" t="s">
        <v>402</v>
      </c>
      <c r="AF36" s="31" t="s">
        <v>403</v>
      </c>
    </row>
    <row r="37" customFormat="false" ht="57.75" hidden="false" customHeight="true" outlineLevel="0" collapsed="false">
      <c r="A37" s="30" t="s">
        <v>404</v>
      </c>
      <c r="B37" s="31" t="s">
        <v>405</v>
      </c>
      <c r="C37" s="32" t="n">
        <v>5</v>
      </c>
      <c r="D37" s="31" t="s">
        <v>406</v>
      </c>
      <c r="E37" s="32" t="s">
        <v>155</v>
      </c>
      <c r="F37" s="32" t="s">
        <v>97</v>
      </c>
      <c r="G37" s="32" t="s">
        <v>239</v>
      </c>
      <c r="H37" s="32" t="n">
        <v>4</v>
      </c>
      <c r="I37" s="32" t="n">
        <v>8</v>
      </c>
      <c r="J37" s="32" t="n">
        <v>50</v>
      </c>
      <c r="K37" s="32" t="n">
        <v>8</v>
      </c>
      <c r="L37" s="32" t="n">
        <v>16</v>
      </c>
      <c r="M37" s="32" t="n">
        <v>300</v>
      </c>
      <c r="N37" s="32" t="n">
        <v>1</v>
      </c>
      <c r="O37" s="32" t="n">
        <v>6</v>
      </c>
      <c r="P37" s="32" t="s">
        <v>99</v>
      </c>
      <c r="Q37" s="32" t="s">
        <v>99</v>
      </c>
      <c r="R37" s="33" t="n">
        <f aca="false">INDEX(02_Freq_Weight!$E$3:$E$9,MATCH(Q37,02_Freq_Weight!$A$3:$A$9,0))</f>
        <v>0.95</v>
      </c>
      <c r="S37" s="32" t="n">
        <v>1</v>
      </c>
      <c r="T37" s="32" t="n">
        <v>90</v>
      </c>
      <c r="U37" s="34" t="n">
        <v>0.4</v>
      </c>
      <c r="V37" s="34" t="n">
        <v>0.3</v>
      </c>
      <c r="W37" s="31" t="s">
        <v>407</v>
      </c>
      <c r="X37" s="31" t="s">
        <v>378</v>
      </c>
      <c r="Y37" s="31" t="s">
        <v>147</v>
      </c>
      <c r="Z37" s="31" t="s">
        <v>379</v>
      </c>
      <c r="AA37" s="31" t="s">
        <v>408</v>
      </c>
      <c r="AB37" s="32" t="n">
        <v>14</v>
      </c>
      <c r="AC37" s="31" t="s">
        <v>409</v>
      </c>
      <c r="AD37" s="31"/>
      <c r="AE37" s="31" t="s">
        <v>410</v>
      </c>
      <c r="AF37" s="31" t="s">
        <v>411</v>
      </c>
    </row>
    <row r="38" customFormat="false" ht="57.75" hidden="false" customHeight="true" outlineLevel="0" collapsed="false">
      <c r="A38" s="30" t="s">
        <v>412</v>
      </c>
      <c r="B38" s="31" t="s">
        <v>413</v>
      </c>
      <c r="C38" s="32" t="n">
        <v>5</v>
      </c>
      <c r="D38" s="31" t="s">
        <v>414</v>
      </c>
      <c r="E38" s="32" t="s">
        <v>155</v>
      </c>
      <c r="F38" s="32" t="s">
        <v>97</v>
      </c>
      <c r="G38" s="32" t="s">
        <v>415</v>
      </c>
      <c r="H38" s="32" t="n">
        <v>2</v>
      </c>
      <c r="I38" s="32" t="n">
        <v>4</v>
      </c>
      <c r="J38" s="32" t="n">
        <v>20</v>
      </c>
      <c r="K38" s="32" t="n">
        <v>2</v>
      </c>
      <c r="L38" s="32" t="n">
        <v>4</v>
      </c>
      <c r="M38" s="32" t="n">
        <v>60</v>
      </c>
      <c r="N38" s="32" t="n">
        <v>1</v>
      </c>
      <c r="O38" s="32" t="n">
        <v>1</v>
      </c>
      <c r="P38" s="32" t="s">
        <v>99</v>
      </c>
      <c r="Q38" s="32" t="s">
        <v>99</v>
      </c>
      <c r="R38" s="33" t="n">
        <f aca="false">INDEX(02_Freq_Weight!$E$3:$E$9,MATCH(Q38,02_Freq_Weight!$A$3:$A$9,0))</f>
        <v>0.95</v>
      </c>
      <c r="S38" s="32" t="n">
        <v>0.05</v>
      </c>
      <c r="T38" s="32" t="n">
        <v>2555</v>
      </c>
      <c r="U38" s="34" t="n">
        <v>0.1</v>
      </c>
      <c r="V38" s="34" t="n">
        <v>0.15</v>
      </c>
      <c r="W38" s="31" t="s">
        <v>416</v>
      </c>
      <c r="X38" s="31" t="s">
        <v>378</v>
      </c>
      <c r="Y38" s="31" t="s">
        <v>147</v>
      </c>
      <c r="Z38" s="31" t="s">
        <v>103</v>
      </c>
      <c r="AA38" s="31" t="s">
        <v>417</v>
      </c>
      <c r="AB38" s="32" t="n">
        <v>15</v>
      </c>
      <c r="AC38" s="31" t="s">
        <v>418</v>
      </c>
      <c r="AD38" s="31" t="s">
        <v>419</v>
      </c>
      <c r="AE38" s="31" t="s">
        <v>420</v>
      </c>
      <c r="AF38" s="31" t="s">
        <v>421</v>
      </c>
    </row>
    <row r="39" customFormat="false" ht="57.75" hidden="false" customHeight="true" outlineLevel="0" collapsed="false">
      <c r="A39" s="35" t="s">
        <v>422</v>
      </c>
      <c r="B39" s="36" t="s">
        <v>423</v>
      </c>
      <c r="C39" s="37" t="n">
        <v>6</v>
      </c>
      <c r="D39" s="36" t="s">
        <v>424</v>
      </c>
      <c r="E39" s="37" t="s">
        <v>96</v>
      </c>
      <c r="F39" s="37" t="s">
        <v>97</v>
      </c>
      <c r="G39" s="37" t="s">
        <v>145</v>
      </c>
      <c r="H39" s="37" t="n">
        <v>2</v>
      </c>
      <c r="I39" s="37" t="n">
        <v>4</v>
      </c>
      <c r="J39" s="37" t="n">
        <v>40</v>
      </c>
      <c r="K39" s="37" t="n">
        <v>4</v>
      </c>
      <c r="L39" s="37" t="n">
        <v>8</v>
      </c>
      <c r="M39" s="37" t="n">
        <v>100</v>
      </c>
      <c r="N39" s="37" t="n">
        <v>1</v>
      </c>
      <c r="O39" s="37" t="n">
        <v>2.5</v>
      </c>
      <c r="P39" s="37" t="s">
        <v>99</v>
      </c>
      <c r="Q39" s="37" t="s">
        <v>99</v>
      </c>
      <c r="R39" s="38" t="n">
        <f aca="false">INDEX(02_Freq_Weight!$E$3:$E$9,MATCH(Q39,02_Freq_Weight!$A$3:$A$9,0))</f>
        <v>0.95</v>
      </c>
      <c r="S39" s="37" t="n">
        <v>0.3</v>
      </c>
      <c r="T39" s="37" t="n">
        <v>90</v>
      </c>
      <c r="U39" s="39" t="n">
        <v>0.15</v>
      </c>
      <c r="V39" s="39" t="n">
        <v>0.2</v>
      </c>
      <c r="W39" s="36" t="s">
        <v>425</v>
      </c>
      <c r="X39" s="36" t="s">
        <v>378</v>
      </c>
      <c r="Y39" s="36" t="s">
        <v>147</v>
      </c>
      <c r="Z39" s="36" t="s">
        <v>103</v>
      </c>
      <c r="AA39" s="36" t="s">
        <v>426</v>
      </c>
      <c r="AB39" s="37" t="n">
        <v>7</v>
      </c>
      <c r="AC39" s="36" t="s">
        <v>427</v>
      </c>
      <c r="AD39" s="36" t="s">
        <v>428</v>
      </c>
      <c r="AE39" s="36" t="s">
        <v>429</v>
      </c>
      <c r="AF39" s="36" t="s">
        <v>430</v>
      </c>
    </row>
    <row r="40" customFormat="false" ht="57.75" hidden="false" customHeight="true" outlineLevel="0" collapsed="false">
      <c r="A40" s="35" t="s">
        <v>431</v>
      </c>
      <c r="B40" s="36" t="s">
        <v>432</v>
      </c>
      <c r="C40" s="37" t="n">
        <v>6</v>
      </c>
      <c r="D40" s="36" t="s">
        <v>433</v>
      </c>
      <c r="E40" s="37" t="s">
        <v>96</v>
      </c>
      <c r="F40" s="37" t="s">
        <v>97</v>
      </c>
      <c r="G40" s="37" t="s">
        <v>145</v>
      </c>
      <c r="H40" s="37" t="n">
        <v>2</v>
      </c>
      <c r="I40" s="37" t="n">
        <v>4</v>
      </c>
      <c r="J40" s="37" t="n">
        <v>20</v>
      </c>
      <c r="K40" s="37" t="n">
        <v>4</v>
      </c>
      <c r="L40" s="37" t="n">
        <v>8</v>
      </c>
      <c r="M40" s="37" t="n">
        <v>60</v>
      </c>
      <c r="N40" s="37" t="n">
        <v>1</v>
      </c>
      <c r="O40" s="37" t="n">
        <v>2</v>
      </c>
      <c r="P40" s="37" t="s">
        <v>99</v>
      </c>
      <c r="Q40" s="37" t="s">
        <v>99</v>
      </c>
      <c r="R40" s="38" t="n">
        <f aca="false">INDEX(02_Freq_Weight!$E$3:$E$9,MATCH(Q40,02_Freq_Weight!$A$3:$A$9,0))</f>
        <v>0.95</v>
      </c>
      <c r="S40" s="37" t="n">
        <v>0.1</v>
      </c>
      <c r="T40" s="37" t="n">
        <v>365</v>
      </c>
      <c r="U40" s="39" t="n">
        <v>0.1</v>
      </c>
      <c r="V40" s="39" t="n">
        <v>0.15</v>
      </c>
      <c r="W40" s="36" t="s">
        <v>434</v>
      </c>
      <c r="X40" s="36" t="s">
        <v>101</v>
      </c>
      <c r="Y40" s="36" t="s">
        <v>102</v>
      </c>
      <c r="Z40" s="36" t="s">
        <v>103</v>
      </c>
      <c r="AA40" s="36" t="s">
        <v>435</v>
      </c>
      <c r="AB40" s="37" t="n">
        <v>10</v>
      </c>
      <c r="AC40" s="36" t="s">
        <v>436</v>
      </c>
      <c r="AD40" s="36"/>
      <c r="AE40" s="36" t="s">
        <v>437</v>
      </c>
      <c r="AF40" s="36" t="s">
        <v>438</v>
      </c>
    </row>
    <row r="41" customFormat="false" ht="57.75" hidden="false" customHeight="true" outlineLevel="0" collapsed="false">
      <c r="A41" s="35" t="s">
        <v>439</v>
      </c>
      <c r="B41" s="36" t="s">
        <v>440</v>
      </c>
      <c r="C41" s="37" t="n">
        <v>6</v>
      </c>
      <c r="D41" s="36" t="s">
        <v>441</v>
      </c>
      <c r="E41" s="37" t="s">
        <v>155</v>
      </c>
      <c r="F41" s="37" t="s">
        <v>97</v>
      </c>
      <c r="G41" s="37" t="s">
        <v>145</v>
      </c>
      <c r="H41" s="37" t="n">
        <v>1</v>
      </c>
      <c r="I41" s="37" t="n">
        <v>2</v>
      </c>
      <c r="J41" s="37" t="n">
        <v>10</v>
      </c>
      <c r="K41" s="37" t="n">
        <v>2</v>
      </c>
      <c r="L41" s="37" t="n">
        <v>4</v>
      </c>
      <c r="M41" s="37" t="n">
        <v>30</v>
      </c>
      <c r="N41" s="37" t="n">
        <v>1</v>
      </c>
      <c r="O41" s="37" t="n">
        <v>0.8</v>
      </c>
      <c r="P41" s="37" t="s">
        <v>99</v>
      </c>
      <c r="Q41" s="37" t="s">
        <v>99</v>
      </c>
      <c r="R41" s="38" t="n">
        <f aca="false">INDEX(02_Freq_Weight!$E$3:$E$9,MATCH(Q41,02_Freq_Weight!$A$3:$A$9,0))</f>
        <v>0.95</v>
      </c>
      <c r="S41" s="37" t="n">
        <v>0.3</v>
      </c>
      <c r="T41" s="37" t="n">
        <v>90</v>
      </c>
      <c r="U41" s="39" t="n">
        <v>0.2</v>
      </c>
      <c r="V41" s="39" t="n">
        <v>0.25</v>
      </c>
      <c r="W41" s="36" t="s">
        <v>442</v>
      </c>
      <c r="X41" s="36" t="s">
        <v>443</v>
      </c>
      <c r="Y41" s="36" t="s">
        <v>147</v>
      </c>
      <c r="Z41" s="36" t="s">
        <v>103</v>
      </c>
      <c r="AA41" s="36" t="s">
        <v>444</v>
      </c>
      <c r="AB41" s="37" t="n">
        <v>5</v>
      </c>
      <c r="AC41" s="36" t="s">
        <v>445</v>
      </c>
      <c r="AD41" s="36" t="s">
        <v>446</v>
      </c>
      <c r="AE41" s="36" t="s">
        <v>447</v>
      </c>
      <c r="AF41" s="36" t="s">
        <v>448</v>
      </c>
    </row>
    <row r="42" customFormat="false" ht="57.75" hidden="false" customHeight="true" outlineLevel="0" collapsed="false">
      <c r="A42" s="35" t="s">
        <v>449</v>
      </c>
      <c r="B42" s="36" t="s">
        <v>450</v>
      </c>
      <c r="C42" s="37" t="n">
        <v>6</v>
      </c>
      <c r="D42" s="36" t="s">
        <v>451</v>
      </c>
      <c r="E42" s="37" t="s">
        <v>96</v>
      </c>
      <c r="F42" s="37" t="s">
        <v>97</v>
      </c>
      <c r="G42" s="37" t="s">
        <v>145</v>
      </c>
      <c r="H42" s="37" t="n">
        <v>2</v>
      </c>
      <c r="I42" s="37" t="n">
        <v>4</v>
      </c>
      <c r="J42" s="37" t="n">
        <v>40</v>
      </c>
      <c r="K42" s="37" t="n">
        <v>4</v>
      </c>
      <c r="L42" s="37" t="n">
        <v>8</v>
      </c>
      <c r="M42" s="37" t="n">
        <v>200</v>
      </c>
      <c r="N42" s="37" t="n">
        <v>1</v>
      </c>
      <c r="O42" s="37" t="n">
        <v>2.5</v>
      </c>
      <c r="P42" s="37" t="s">
        <v>99</v>
      </c>
      <c r="Q42" s="37" t="s">
        <v>99</v>
      </c>
      <c r="R42" s="38" t="n">
        <f aca="false">INDEX(02_Freq_Weight!$E$3:$E$9,MATCH(Q42,02_Freq_Weight!$A$3:$A$9,0))</f>
        <v>0.95</v>
      </c>
      <c r="S42" s="37" t="n">
        <v>0.8</v>
      </c>
      <c r="T42" s="37" t="n">
        <v>90</v>
      </c>
      <c r="U42" s="39" t="n">
        <v>0.1</v>
      </c>
      <c r="V42" s="39" t="n">
        <v>0.3</v>
      </c>
      <c r="W42" s="36" t="s">
        <v>452</v>
      </c>
      <c r="X42" s="36" t="s">
        <v>453</v>
      </c>
      <c r="Y42" s="36" t="s">
        <v>200</v>
      </c>
      <c r="Z42" s="36" t="s">
        <v>103</v>
      </c>
      <c r="AA42" s="36" t="s">
        <v>454</v>
      </c>
      <c r="AB42" s="37" t="n">
        <v>6</v>
      </c>
      <c r="AC42" s="36" t="s">
        <v>455</v>
      </c>
      <c r="AD42" s="36" t="s">
        <v>456</v>
      </c>
      <c r="AE42" s="36" t="s">
        <v>457</v>
      </c>
      <c r="AF42" s="36" t="s">
        <v>458</v>
      </c>
    </row>
    <row r="43" customFormat="false" ht="57.75" hidden="false" customHeight="true" outlineLevel="0" collapsed="false">
      <c r="A43" s="35" t="s">
        <v>459</v>
      </c>
      <c r="B43" s="36" t="s">
        <v>460</v>
      </c>
      <c r="C43" s="37" t="n">
        <v>6</v>
      </c>
      <c r="D43" s="36" t="s">
        <v>461</v>
      </c>
      <c r="E43" s="37" t="s">
        <v>96</v>
      </c>
      <c r="F43" s="37" t="s">
        <v>97</v>
      </c>
      <c r="G43" s="37" t="s">
        <v>365</v>
      </c>
      <c r="H43" s="37" t="n">
        <v>1</v>
      </c>
      <c r="I43" s="37" t="n">
        <v>2</v>
      </c>
      <c r="J43" s="37" t="n">
        <v>10</v>
      </c>
      <c r="K43" s="37" t="n">
        <v>2</v>
      </c>
      <c r="L43" s="37" t="n">
        <v>4</v>
      </c>
      <c r="M43" s="37" t="n">
        <v>30</v>
      </c>
      <c r="N43" s="37" t="n">
        <v>1</v>
      </c>
      <c r="O43" s="37" t="n">
        <v>0.6</v>
      </c>
      <c r="P43" s="37" t="s">
        <v>99</v>
      </c>
      <c r="Q43" s="37" t="s">
        <v>99</v>
      </c>
      <c r="R43" s="38" t="n">
        <f aca="false">INDEX(02_Freq_Weight!$E$3:$E$9,MATCH(Q43,02_Freq_Weight!$A$3:$A$9,0))</f>
        <v>0.95</v>
      </c>
      <c r="S43" s="37" t="n">
        <v>0.02</v>
      </c>
      <c r="T43" s="37" t="n">
        <v>365</v>
      </c>
      <c r="U43" s="39" t="n">
        <v>0.05</v>
      </c>
      <c r="V43" s="39" t="n">
        <v>0.15</v>
      </c>
      <c r="W43" s="36" t="s">
        <v>462</v>
      </c>
      <c r="X43" s="36" t="s">
        <v>463</v>
      </c>
      <c r="Y43" s="36" t="s">
        <v>200</v>
      </c>
      <c r="Z43" s="36" t="s">
        <v>103</v>
      </c>
      <c r="AA43" s="36" t="s">
        <v>464</v>
      </c>
      <c r="AB43" s="37" t="n">
        <v>4</v>
      </c>
      <c r="AC43" s="36" t="s">
        <v>465</v>
      </c>
      <c r="AD43" s="36"/>
      <c r="AE43" s="36" t="s">
        <v>466</v>
      </c>
      <c r="AF43" s="36" t="s">
        <v>467</v>
      </c>
    </row>
    <row r="44" customFormat="false" ht="57.75" hidden="false" customHeight="true" outlineLevel="0" collapsed="false">
      <c r="A44" s="35" t="s">
        <v>468</v>
      </c>
      <c r="B44" s="36" t="s">
        <v>469</v>
      </c>
      <c r="C44" s="37" t="n">
        <v>6</v>
      </c>
      <c r="D44" s="36" t="s">
        <v>451</v>
      </c>
      <c r="E44" s="37" t="s">
        <v>155</v>
      </c>
      <c r="F44" s="37" t="s">
        <v>97</v>
      </c>
      <c r="G44" s="37" t="s">
        <v>365</v>
      </c>
      <c r="H44" s="37" t="n">
        <v>2</v>
      </c>
      <c r="I44" s="37" t="n">
        <v>4</v>
      </c>
      <c r="J44" s="37" t="n">
        <v>30</v>
      </c>
      <c r="K44" s="37" t="n">
        <v>4</v>
      </c>
      <c r="L44" s="37" t="n">
        <v>8</v>
      </c>
      <c r="M44" s="37" t="n">
        <v>150</v>
      </c>
      <c r="N44" s="37" t="n">
        <v>1</v>
      </c>
      <c r="O44" s="37" t="n">
        <v>2</v>
      </c>
      <c r="P44" s="37" t="s">
        <v>99</v>
      </c>
      <c r="Q44" s="37" t="s">
        <v>99</v>
      </c>
      <c r="R44" s="38" t="n">
        <f aca="false">INDEX(02_Freq_Weight!$E$3:$E$9,MATCH(Q44,02_Freq_Weight!$A$3:$A$9,0))</f>
        <v>0.95</v>
      </c>
      <c r="S44" s="37" t="n">
        <v>0.4</v>
      </c>
      <c r="T44" s="37" t="n">
        <v>365</v>
      </c>
      <c r="U44" s="39" t="n">
        <v>0.25</v>
      </c>
      <c r="V44" s="39" t="n">
        <v>0.2</v>
      </c>
      <c r="W44" s="36" t="s">
        <v>470</v>
      </c>
      <c r="X44" s="36" t="s">
        <v>453</v>
      </c>
      <c r="Y44" s="36" t="s">
        <v>200</v>
      </c>
      <c r="Z44" s="36" t="s">
        <v>103</v>
      </c>
      <c r="AA44" s="36" t="s">
        <v>454</v>
      </c>
      <c r="AB44" s="37" t="n">
        <v>6</v>
      </c>
      <c r="AC44" s="36" t="s">
        <v>471</v>
      </c>
      <c r="AD44" s="36"/>
      <c r="AE44" s="36" t="s">
        <v>472</v>
      </c>
      <c r="AF44" s="36" t="s">
        <v>473</v>
      </c>
    </row>
    <row r="45" customFormat="false" ht="57.75" hidden="false" customHeight="true" outlineLevel="0" collapsed="false">
      <c r="A45" s="35" t="s">
        <v>474</v>
      </c>
      <c r="B45" s="36" t="s">
        <v>475</v>
      </c>
      <c r="C45" s="37" t="n">
        <v>6</v>
      </c>
      <c r="D45" s="36" t="s">
        <v>476</v>
      </c>
      <c r="E45" s="37" t="s">
        <v>155</v>
      </c>
      <c r="F45" s="37" t="s">
        <v>97</v>
      </c>
      <c r="G45" s="37" t="s">
        <v>477</v>
      </c>
      <c r="H45" s="37" t="n">
        <v>1</v>
      </c>
      <c r="I45" s="37" t="n">
        <v>2</v>
      </c>
      <c r="J45" s="37" t="n">
        <v>15</v>
      </c>
      <c r="K45" s="37" t="n">
        <v>2</v>
      </c>
      <c r="L45" s="37" t="n">
        <v>4</v>
      </c>
      <c r="M45" s="37" t="n">
        <v>40</v>
      </c>
      <c r="N45" s="37" t="n">
        <v>0</v>
      </c>
      <c r="O45" s="37" t="n">
        <v>0.1</v>
      </c>
      <c r="P45" s="37" t="s">
        <v>217</v>
      </c>
      <c r="Q45" s="37" t="s">
        <v>218</v>
      </c>
      <c r="R45" s="38" t="n">
        <f aca="false">INDEX(02_Freq_Weight!$E$3:$E$9,MATCH(Q45,02_Freq_Weight!$A$3:$A$9,0))</f>
        <v>0.6575</v>
      </c>
      <c r="S45" s="37" t="n">
        <v>0.05</v>
      </c>
      <c r="T45" s="37" t="n">
        <v>365</v>
      </c>
      <c r="U45" s="39" t="n">
        <v>0.1</v>
      </c>
      <c r="V45" s="39" t="n">
        <v>0.15</v>
      </c>
      <c r="W45" s="36" t="s">
        <v>478</v>
      </c>
      <c r="X45" s="36" t="s">
        <v>479</v>
      </c>
      <c r="Y45" s="36" t="s">
        <v>200</v>
      </c>
      <c r="Z45" s="36" t="s">
        <v>103</v>
      </c>
      <c r="AA45" s="36" t="s">
        <v>480</v>
      </c>
      <c r="AB45" s="37" t="n">
        <v>8</v>
      </c>
      <c r="AC45" s="36" t="s">
        <v>481</v>
      </c>
      <c r="AD45" s="36"/>
      <c r="AE45" s="36" t="s">
        <v>482</v>
      </c>
      <c r="AF45" s="36" t="s">
        <v>483</v>
      </c>
    </row>
    <row r="46" customFormat="false" ht="57.75" hidden="false" customHeight="true" outlineLevel="0" collapsed="false">
      <c r="A46" s="35" t="s">
        <v>484</v>
      </c>
      <c r="B46" s="36" t="s">
        <v>485</v>
      </c>
      <c r="C46" s="37" t="n">
        <v>6</v>
      </c>
      <c r="D46" s="36" t="s">
        <v>486</v>
      </c>
      <c r="E46" s="37" t="s">
        <v>155</v>
      </c>
      <c r="F46" s="37" t="s">
        <v>97</v>
      </c>
      <c r="G46" s="37" t="s">
        <v>145</v>
      </c>
      <c r="H46" s="37" t="n">
        <v>2</v>
      </c>
      <c r="I46" s="37" t="n">
        <v>4</v>
      </c>
      <c r="J46" s="37" t="n">
        <v>15</v>
      </c>
      <c r="K46" s="37" t="n">
        <v>4</v>
      </c>
      <c r="L46" s="37" t="n">
        <v>8</v>
      </c>
      <c r="M46" s="37" t="n">
        <v>60</v>
      </c>
      <c r="N46" s="37" t="n">
        <v>1</v>
      </c>
      <c r="O46" s="37" t="n">
        <v>1</v>
      </c>
      <c r="P46" s="37" t="s">
        <v>99</v>
      </c>
      <c r="Q46" s="37" t="s">
        <v>99</v>
      </c>
      <c r="R46" s="38" t="n">
        <f aca="false">INDEX(02_Freq_Weight!$E$3:$E$9,MATCH(Q46,02_Freq_Weight!$A$3:$A$9,0))</f>
        <v>0.95</v>
      </c>
      <c r="S46" s="37" t="n">
        <v>0.4</v>
      </c>
      <c r="T46" s="37" t="n">
        <v>90</v>
      </c>
      <c r="U46" s="39" t="n">
        <v>0.15</v>
      </c>
      <c r="V46" s="39" t="n">
        <v>0.25</v>
      </c>
      <c r="W46" s="36" t="s">
        <v>487</v>
      </c>
      <c r="X46" s="36" t="s">
        <v>169</v>
      </c>
      <c r="Y46" s="36" t="s">
        <v>200</v>
      </c>
      <c r="Z46" s="36" t="s">
        <v>170</v>
      </c>
      <c r="AA46" s="36" t="s">
        <v>488</v>
      </c>
      <c r="AB46" s="37" t="n">
        <v>6</v>
      </c>
      <c r="AC46" s="36" t="s">
        <v>489</v>
      </c>
      <c r="AD46" s="36"/>
      <c r="AE46" s="36" t="s">
        <v>490</v>
      </c>
      <c r="AF46" s="36" t="s">
        <v>491</v>
      </c>
    </row>
    <row r="47" customFormat="false" ht="57.75" hidden="false" customHeight="true" outlineLevel="0" collapsed="false">
      <c r="A47" s="35" t="s">
        <v>492</v>
      </c>
      <c r="B47" s="36" t="s">
        <v>493</v>
      </c>
      <c r="C47" s="37" t="n">
        <v>6</v>
      </c>
      <c r="D47" s="36" t="s">
        <v>494</v>
      </c>
      <c r="E47" s="37" t="s">
        <v>155</v>
      </c>
      <c r="F47" s="37" t="s">
        <v>97</v>
      </c>
      <c r="G47" s="37" t="s">
        <v>145</v>
      </c>
      <c r="H47" s="37" t="n">
        <v>2</v>
      </c>
      <c r="I47" s="37" t="n">
        <v>4</v>
      </c>
      <c r="J47" s="37" t="n">
        <v>20</v>
      </c>
      <c r="K47" s="37" t="n">
        <v>4</v>
      </c>
      <c r="L47" s="37" t="n">
        <v>8</v>
      </c>
      <c r="M47" s="37" t="n">
        <v>60</v>
      </c>
      <c r="N47" s="37" t="n">
        <v>1</v>
      </c>
      <c r="O47" s="37" t="n">
        <v>1.5</v>
      </c>
      <c r="P47" s="37" t="s">
        <v>99</v>
      </c>
      <c r="Q47" s="37" t="s">
        <v>99</v>
      </c>
      <c r="R47" s="38" t="n">
        <f aca="false">INDEX(02_Freq_Weight!$E$3:$E$9,MATCH(Q47,02_Freq_Weight!$A$3:$A$9,0))</f>
        <v>0.95</v>
      </c>
      <c r="S47" s="37" t="n">
        <v>0.1</v>
      </c>
      <c r="T47" s="37" t="n">
        <v>2555</v>
      </c>
      <c r="U47" s="39" t="n">
        <v>0.15</v>
      </c>
      <c r="V47" s="39" t="n">
        <v>0.2</v>
      </c>
      <c r="W47" s="36" t="s">
        <v>495</v>
      </c>
      <c r="X47" s="36" t="s">
        <v>378</v>
      </c>
      <c r="Y47" s="36" t="s">
        <v>147</v>
      </c>
      <c r="Z47" s="36" t="s">
        <v>103</v>
      </c>
      <c r="AA47" s="36" t="s">
        <v>496</v>
      </c>
      <c r="AB47" s="37" t="n">
        <v>12</v>
      </c>
      <c r="AC47" s="36" t="s">
        <v>497</v>
      </c>
      <c r="AD47" s="36"/>
      <c r="AE47" s="36" t="s">
        <v>498</v>
      </c>
      <c r="AF47" s="36" t="s">
        <v>499</v>
      </c>
    </row>
    <row r="48" customFormat="false" ht="57.75" hidden="false" customHeight="true" outlineLevel="0" collapsed="false">
      <c r="A48" s="35" t="s">
        <v>500</v>
      </c>
      <c r="B48" s="36" t="s">
        <v>501</v>
      </c>
      <c r="C48" s="37" t="n">
        <v>6</v>
      </c>
      <c r="D48" s="36" t="s">
        <v>502</v>
      </c>
      <c r="E48" s="37" t="s">
        <v>155</v>
      </c>
      <c r="F48" s="37" t="s">
        <v>97</v>
      </c>
      <c r="G48" s="37" t="s">
        <v>145</v>
      </c>
      <c r="H48" s="37" t="n">
        <v>1</v>
      </c>
      <c r="I48" s="37" t="n">
        <v>2</v>
      </c>
      <c r="J48" s="37" t="n">
        <v>20</v>
      </c>
      <c r="K48" s="37" t="n">
        <v>2</v>
      </c>
      <c r="L48" s="37" t="n">
        <v>4</v>
      </c>
      <c r="M48" s="37" t="n">
        <v>60</v>
      </c>
      <c r="N48" s="37" t="n">
        <v>0</v>
      </c>
      <c r="O48" s="37" t="n">
        <v>0.2</v>
      </c>
      <c r="P48" s="37" t="s">
        <v>217</v>
      </c>
      <c r="Q48" s="37" t="s">
        <v>218</v>
      </c>
      <c r="R48" s="38" t="n">
        <f aca="false">INDEX(02_Freq_Weight!$E$3:$E$9,MATCH(Q48,02_Freq_Weight!$A$3:$A$9,0))</f>
        <v>0.6575</v>
      </c>
      <c r="S48" s="37" t="n">
        <v>2</v>
      </c>
      <c r="T48" s="37" t="n">
        <v>90</v>
      </c>
      <c r="U48" s="39" t="n">
        <v>0.05</v>
      </c>
      <c r="V48" s="39" t="n">
        <v>0.25</v>
      </c>
      <c r="W48" s="36" t="s">
        <v>503</v>
      </c>
      <c r="X48" s="36" t="s">
        <v>367</v>
      </c>
      <c r="Y48" s="36" t="s">
        <v>103</v>
      </c>
      <c r="Z48" s="36" t="s">
        <v>103</v>
      </c>
      <c r="AA48" s="36" t="s">
        <v>504</v>
      </c>
      <c r="AB48" s="37" t="n">
        <v>5</v>
      </c>
      <c r="AC48" s="36" t="s">
        <v>505</v>
      </c>
      <c r="AD48" s="36"/>
      <c r="AE48" s="36" t="s">
        <v>506</v>
      </c>
      <c r="AF48" s="36" t="s">
        <v>507</v>
      </c>
    </row>
    <row r="49" customFormat="false" ht="57.75" hidden="false" customHeight="true" outlineLevel="0" collapsed="false">
      <c r="A49" s="35" t="s">
        <v>508</v>
      </c>
      <c r="B49" s="36" t="s">
        <v>509</v>
      </c>
      <c r="C49" s="37" t="n">
        <v>6</v>
      </c>
      <c r="D49" s="36" t="s">
        <v>510</v>
      </c>
      <c r="E49" s="37" t="s">
        <v>155</v>
      </c>
      <c r="F49" s="37" t="s">
        <v>97</v>
      </c>
      <c r="G49" s="37" t="s">
        <v>145</v>
      </c>
      <c r="H49" s="37" t="n">
        <v>2</v>
      </c>
      <c r="I49" s="37" t="n">
        <v>4</v>
      </c>
      <c r="J49" s="37" t="n">
        <v>15</v>
      </c>
      <c r="K49" s="37" t="n">
        <v>2</v>
      </c>
      <c r="L49" s="37" t="n">
        <v>4</v>
      </c>
      <c r="M49" s="37" t="n">
        <v>40</v>
      </c>
      <c r="N49" s="37" t="n">
        <v>0</v>
      </c>
      <c r="O49" s="37" t="n">
        <v>0</v>
      </c>
      <c r="P49" s="37" t="s">
        <v>217</v>
      </c>
      <c r="Q49" s="37" t="s">
        <v>240</v>
      </c>
      <c r="R49" s="38" t="n">
        <f aca="false">INDEX(02_Freq_Weight!$E$3:$E$9,MATCH(Q49,02_Freq_Weight!$A$3:$A$9,0))</f>
        <v>0.5675</v>
      </c>
      <c r="S49" s="37" t="n">
        <v>0.05</v>
      </c>
      <c r="T49" s="37" t="n">
        <v>730</v>
      </c>
      <c r="U49" s="39" t="n">
        <v>0.1</v>
      </c>
      <c r="V49" s="39" t="n">
        <v>0.15</v>
      </c>
      <c r="W49" s="36" t="s">
        <v>511</v>
      </c>
      <c r="X49" s="36" t="s">
        <v>512</v>
      </c>
      <c r="Y49" s="36" t="s">
        <v>200</v>
      </c>
      <c r="Z49" s="36" t="s">
        <v>103</v>
      </c>
      <c r="AA49" s="36" t="s">
        <v>513</v>
      </c>
      <c r="AB49" s="37" t="n">
        <v>3</v>
      </c>
      <c r="AC49" s="36" t="s">
        <v>514</v>
      </c>
      <c r="AD49" s="36"/>
      <c r="AE49" s="36" t="s">
        <v>515</v>
      </c>
      <c r="AF49" s="36" t="s">
        <v>516</v>
      </c>
    </row>
    <row r="50" customFormat="false" ht="57.75" hidden="false" customHeight="true" outlineLevel="0" collapsed="false">
      <c r="A50" s="30" t="s">
        <v>517</v>
      </c>
      <c r="B50" s="31" t="s">
        <v>518</v>
      </c>
      <c r="C50" s="32" t="n">
        <v>5</v>
      </c>
      <c r="D50" s="31" t="s">
        <v>519</v>
      </c>
      <c r="E50" s="32" t="s">
        <v>96</v>
      </c>
      <c r="F50" s="32" t="s">
        <v>97</v>
      </c>
      <c r="G50" s="32" t="s">
        <v>145</v>
      </c>
      <c r="H50" s="32" t="n">
        <v>2</v>
      </c>
      <c r="I50" s="32" t="n">
        <v>4</v>
      </c>
      <c r="J50" s="32" t="n">
        <v>20</v>
      </c>
      <c r="K50" s="32" t="n">
        <v>4</v>
      </c>
      <c r="L50" s="32" t="n">
        <v>8</v>
      </c>
      <c r="M50" s="32" t="n">
        <v>200</v>
      </c>
      <c r="N50" s="32" t="n">
        <v>1</v>
      </c>
      <c r="O50" s="32" t="n">
        <v>1.5</v>
      </c>
      <c r="P50" s="32" t="s">
        <v>99</v>
      </c>
      <c r="Q50" s="32" t="s">
        <v>99</v>
      </c>
      <c r="R50" s="33" t="n">
        <f aca="false">INDEX(02_Freq_Weight!$E$3:$E$9,MATCH(Q50,02_Freq_Weight!$A$3:$A$9,0))</f>
        <v>0.95</v>
      </c>
      <c r="S50" s="32" t="n">
        <v>0.5</v>
      </c>
      <c r="T50" s="32" t="n">
        <v>730</v>
      </c>
      <c r="U50" s="34" t="n">
        <v>0.15</v>
      </c>
      <c r="V50" s="34" t="n">
        <v>0.4</v>
      </c>
      <c r="W50" s="31" t="s">
        <v>520</v>
      </c>
      <c r="X50" s="31" t="s">
        <v>101</v>
      </c>
      <c r="Y50" s="31" t="s">
        <v>147</v>
      </c>
      <c r="Z50" s="31" t="s">
        <v>103</v>
      </c>
      <c r="AA50" s="31" t="s">
        <v>521</v>
      </c>
      <c r="AB50" s="32" t="n">
        <v>9</v>
      </c>
      <c r="AC50" s="31" t="s">
        <v>522</v>
      </c>
      <c r="AD50" s="31"/>
      <c r="AE50" s="31" t="s">
        <v>523</v>
      </c>
      <c r="AF50" s="31" t="s">
        <v>524</v>
      </c>
    </row>
    <row r="51" customFormat="false" ht="57.75" hidden="false" customHeight="true" outlineLevel="0" collapsed="false">
      <c r="A51" s="25" t="s">
        <v>525</v>
      </c>
      <c r="B51" s="26" t="s">
        <v>526</v>
      </c>
      <c r="C51" s="27" t="n">
        <v>4</v>
      </c>
      <c r="D51" s="26" t="s">
        <v>527</v>
      </c>
      <c r="E51" s="27" t="s">
        <v>155</v>
      </c>
      <c r="F51" s="27" t="s">
        <v>97</v>
      </c>
      <c r="G51" s="27" t="s">
        <v>98</v>
      </c>
      <c r="H51" s="27" t="n">
        <v>4</v>
      </c>
      <c r="I51" s="27" t="n">
        <v>8</v>
      </c>
      <c r="J51" s="27" t="n">
        <v>40</v>
      </c>
      <c r="K51" s="27" t="n">
        <v>8</v>
      </c>
      <c r="L51" s="27" t="n">
        <v>16</v>
      </c>
      <c r="M51" s="27" t="n">
        <v>120</v>
      </c>
      <c r="N51" s="27" t="n">
        <v>0</v>
      </c>
      <c r="O51" s="27" t="n">
        <v>0</v>
      </c>
      <c r="P51" s="27" t="s">
        <v>328</v>
      </c>
      <c r="Q51" s="27" t="s">
        <v>229</v>
      </c>
      <c r="R51" s="28" t="n">
        <f aca="false">INDEX(02_Freq_Weight!$E$3:$E$9,MATCH(Q51,02_Freq_Weight!$A$3:$A$9,0))</f>
        <v>0.7925</v>
      </c>
      <c r="S51" s="27" t="n">
        <v>0.2</v>
      </c>
      <c r="T51" s="27" t="n">
        <v>365</v>
      </c>
      <c r="U51" s="29" t="n">
        <v>0.1</v>
      </c>
      <c r="V51" s="29" t="n">
        <v>0.3</v>
      </c>
      <c r="W51" s="26" t="s">
        <v>528</v>
      </c>
      <c r="X51" s="26" t="s">
        <v>103</v>
      </c>
      <c r="Y51" s="26" t="s">
        <v>159</v>
      </c>
      <c r="Z51" s="26" t="s">
        <v>103</v>
      </c>
      <c r="AA51" s="26" t="s">
        <v>529</v>
      </c>
      <c r="AB51" s="27" t="n">
        <v>3</v>
      </c>
      <c r="AC51" s="26" t="s">
        <v>530</v>
      </c>
      <c r="AD51" s="26"/>
      <c r="AE51" s="26" t="s">
        <v>531</v>
      </c>
      <c r="AF51" s="26" t="s">
        <v>532</v>
      </c>
    </row>
    <row r="52" customFormat="false" ht="57.75" hidden="false" customHeight="true" outlineLevel="0" collapsed="false">
      <c r="A52" s="20" t="s">
        <v>533</v>
      </c>
      <c r="B52" s="21" t="s">
        <v>534</v>
      </c>
      <c r="C52" s="22" t="n">
        <v>3</v>
      </c>
      <c r="D52" s="21" t="s">
        <v>535</v>
      </c>
      <c r="E52" s="22" t="s">
        <v>155</v>
      </c>
      <c r="F52" s="22" t="s">
        <v>97</v>
      </c>
      <c r="G52" s="22" t="s">
        <v>536</v>
      </c>
      <c r="H52" s="22" t="n">
        <v>8</v>
      </c>
      <c r="I52" s="22" t="n">
        <v>16</v>
      </c>
      <c r="J52" s="22" t="n">
        <v>200</v>
      </c>
      <c r="K52" s="22" t="n">
        <v>16</v>
      </c>
      <c r="L52" s="22" t="n">
        <v>64</v>
      </c>
      <c r="M52" s="22" t="n">
        <v>1000</v>
      </c>
      <c r="N52" s="22" t="n">
        <v>0</v>
      </c>
      <c r="O52" s="22" t="n">
        <v>0</v>
      </c>
      <c r="P52" s="22" t="s">
        <v>328</v>
      </c>
      <c r="Q52" s="22" t="s">
        <v>240</v>
      </c>
      <c r="R52" s="23" t="n">
        <f aca="false">INDEX(02_Freq_Weight!$E$3:$E$9,MATCH(Q52,02_Freq_Weight!$A$3:$A$9,0))</f>
        <v>0.5675</v>
      </c>
      <c r="S52" s="22" t="n">
        <v>5</v>
      </c>
      <c r="T52" s="22" t="n">
        <v>180</v>
      </c>
      <c r="U52" s="24" t="n">
        <v>0.1</v>
      </c>
      <c r="V52" s="24" t="n">
        <v>0.4</v>
      </c>
      <c r="W52" s="21" t="s">
        <v>257</v>
      </c>
      <c r="X52" s="21" t="s">
        <v>103</v>
      </c>
      <c r="Y52" s="21" t="s">
        <v>103</v>
      </c>
      <c r="Z52" s="21" t="s">
        <v>103</v>
      </c>
      <c r="AA52" s="21" t="s">
        <v>103</v>
      </c>
      <c r="AB52" s="22" t="n">
        <v>0</v>
      </c>
      <c r="AC52" s="21" t="s">
        <v>537</v>
      </c>
      <c r="AD52" s="21"/>
      <c r="AE52" s="21" t="s">
        <v>538</v>
      </c>
      <c r="AF52" s="21" t="s">
        <v>539</v>
      </c>
    </row>
    <row r="53" customFormat="false" ht="57.75" hidden="false" customHeight="true" outlineLevel="0" collapsed="false">
      <c r="A53" s="30" t="s">
        <v>540</v>
      </c>
      <c r="B53" s="31" t="s">
        <v>541</v>
      </c>
      <c r="C53" s="32" t="n">
        <v>5</v>
      </c>
      <c r="D53" s="31" t="s">
        <v>542</v>
      </c>
      <c r="E53" s="32" t="s">
        <v>155</v>
      </c>
      <c r="F53" s="32" t="s">
        <v>97</v>
      </c>
      <c r="G53" s="32" t="s">
        <v>543</v>
      </c>
      <c r="H53" s="32" t="n">
        <v>1</v>
      </c>
      <c r="I53" s="32" t="n">
        <v>2</v>
      </c>
      <c r="J53" s="32" t="n">
        <v>10</v>
      </c>
      <c r="K53" s="32" t="n">
        <v>2</v>
      </c>
      <c r="L53" s="32" t="n">
        <v>4</v>
      </c>
      <c r="M53" s="32" t="n">
        <v>30</v>
      </c>
      <c r="N53" s="32" t="n">
        <v>1</v>
      </c>
      <c r="O53" s="32" t="n">
        <v>1</v>
      </c>
      <c r="P53" s="32" t="s">
        <v>99</v>
      </c>
      <c r="Q53" s="32" t="s">
        <v>99</v>
      </c>
      <c r="R53" s="33" t="n">
        <f aca="false">INDEX(02_Freq_Weight!$E$3:$E$9,MATCH(Q53,02_Freq_Weight!$A$3:$A$9,0))</f>
        <v>0.95</v>
      </c>
      <c r="S53" s="32" t="n">
        <v>0.05</v>
      </c>
      <c r="T53" s="32" t="n">
        <v>30</v>
      </c>
      <c r="U53" s="34" t="n">
        <v>0.1</v>
      </c>
      <c r="V53" s="34" t="n">
        <v>0.2</v>
      </c>
      <c r="W53" s="31" t="s">
        <v>462</v>
      </c>
      <c r="X53" s="31" t="s">
        <v>463</v>
      </c>
      <c r="Y53" s="31" t="s">
        <v>200</v>
      </c>
      <c r="Z53" s="31" t="s">
        <v>103</v>
      </c>
      <c r="AA53" s="31" t="s">
        <v>464</v>
      </c>
      <c r="AB53" s="32" t="n">
        <v>4</v>
      </c>
      <c r="AC53" s="31" t="s">
        <v>544</v>
      </c>
      <c r="AD53" s="31"/>
      <c r="AE53" s="31" t="s">
        <v>545</v>
      </c>
      <c r="AF53" s="31" t="s">
        <v>546</v>
      </c>
    </row>
    <row r="54" customFormat="false" ht="57.75" hidden="false" customHeight="true" outlineLevel="0" collapsed="false">
      <c r="A54" s="30" t="s">
        <v>547</v>
      </c>
      <c r="B54" s="31" t="s">
        <v>548</v>
      </c>
      <c r="C54" s="32" t="n">
        <v>5</v>
      </c>
      <c r="D54" s="31" t="s">
        <v>549</v>
      </c>
      <c r="E54" s="32" t="s">
        <v>155</v>
      </c>
      <c r="F54" s="32" t="s">
        <v>97</v>
      </c>
      <c r="G54" s="32" t="s">
        <v>550</v>
      </c>
      <c r="H54" s="32" t="n">
        <v>2</v>
      </c>
      <c r="I54" s="32" t="n">
        <v>4</v>
      </c>
      <c r="J54" s="32" t="n">
        <v>15</v>
      </c>
      <c r="K54" s="32" t="n">
        <v>2</v>
      </c>
      <c r="L54" s="32" t="n">
        <v>4</v>
      </c>
      <c r="M54" s="32" t="n">
        <v>60</v>
      </c>
      <c r="N54" s="32" t="n">
        <v>1</v>
      </c>
      <c r="O54" s="32" t="n">
        <v>1.5</v>
      </c>
      <c r="P54" s="32" t="s">
        <v>99</v>
      </c>
      <c r="Q54" s="32" t="s">
        <v>99</v>
      </c>
      <c r="R54" s="33" t="n">
        <f aca="false">INDEX(02_Freq_Weight!$E$3:$E$9,MATCH(Q54,02_Freq_Weight!$A$3:$A$9,0))</f>
        <v>0.95</v>
      </c>
      <c r="S54" s="32" t="n">
        <v>0.1</v>
      </c>
      <c r="T54" s="32" t="n">
        <v>30</v>
      </c>
      <c r="U54" s="34" t="n">
        <v>0.1</v>
      </c>
      <c r="V54" s="34" t="n">
        <v>0.2</v>
      </c>
      <c r="W54" s="31" t="s">
        <v>462</v>
      </c>
      <c r="X54" s="31" t="s">
        <v>463</v>
      </c>
      <c r="Y54" s="31" t="s">
        <v>200</v>
      </c>
      <c r="Z54" s="31" t="s">
        <v>103</v>
      </c>
      <c r="AA54" s="31" t="s">
        <v>464</v>
      </c>
      <c r="AB54" s="32" t="n">
        <v>4</v>
      </c>
      <c r="AC54" s="31" t="s">
        <v>551</v>
      </c>
      <c r="AD54" s="31"/>
      <c r="AE54" s="31" t="s">
        <v>552</v>
      </c>
      <c r="AF54" s="31" t="s">
        <v>553</v>
      </c>
    </row>
    <row r="55" customFormat="false" ht="57.75" hidden="false" customHeight="true" outlineLevel="0" collapsed="false">
      <c r="A55" s="30" t="s">
        <v>554</v>
      </c>
      <c r="B55" s="31" t="s">
        <v>555</v>
      </c>
      <c r="C55" s="32" t="n">
        <v>5</v>
      </c>
      <c r="D55" s="31" t="s">
        <v>556</v>
      </c>
      <c r="E55" s="32" t="s">
        <v>155</v>
      </c>
      <c r="F55" s="32" t="s">
        <v>97</v>
      </c>
      <c r="G55" s="32" t="s">
        <v>557</v>
      </c>
      <c r="H55" s="32" t="n">
        <v>1</v>
      </c>
      <c r="I55" s="32" t="n">
        <v>2</v>
      </c>
      <c r="J55" s="32" t="n">
        <v>20</v>
      </c>
      <c r="K55" s="32" t="n">
        <v>2</v>
      </c>
      <c r="L55" s="32" t="n">
        <v>4</v>
      </c>
      <c r="M55" s="32" t="n">
        <v>500</v>
      </c>
      <c r="N55" s="32" t="n">
        <v>1</v>
      </c>
      <c r="O55" s="32" t="n">
        <v>0.3</v>
      </c>
      <c r="P55" s="32" t="s">
        <v>99</v>
      </c>
      <c r="Q55" s="32" t="s">
        <v>99</v>
      </c>
      <c r="R55" s="33" t="n">
        <f aca="false">INDEX(02_Freq_Weight!$E$3:$E$9,MATCH(Q55,02_Freq_Weight!$A$3:$A$9,0))</f>
        <v>0.95</v>
      </c>
      <c r="S55" s="32" t="n">
        <v>0.5</v>
      </c>
      <c r="T55" s="32" t="n">
        <v>180</v>
      </c>
      <c r="U55" s="34" t="n">
        <v>0.05</v>
      </c>
      <c r="V55" s="34" t="n">
        <v>0.25</v>
      </c>
      <c r="W55" s="31" t="s">
        <v>558</v>
      </c>
      <c r="X55" s="31" t="s">
        <v>367</v>
      </c>
      <c r="Y55" s="31" t="s">
        <v>200</v>
      </c>
      <c r="Z55" s="31" t="s">
        <v>103</v>
      </c>
      <c r="AA55" s="31" t="s">
        <v>559</v>
      </c>
      <c r="AB55" s="32" t="n">
        <v>7</v>
      </c>
      <c r="AC55" s="31" t="s">
        <v>560</v>
      </c>
      <c r="AD55" s="31"/>
      <c r="AE55" s="31" t="s">
        <v>561</v>
      </c>
      <c r="AF55" s="31" t="s">
        <v>562</v>
      </c>
    </row>
    <row r="57" customFormat="false" ht="15" hidden="false" customHeight="false" outlineLevel="0" collapsed="false">
      <c r="A57" s="40" t="s">
        <v>563</v>
      </c>
      <c r="H57" s="41" t="n">
        <f aca="false">SUM(H3:H55)</f>
        <v>106</v>
      </c>
      <c r="I57" s="41" t="n">
        <f aca="false">SUM(I3:I55)</f>
        <v>204</v>
      </c>
      <c r="J57" s="41" t="n">
        <f aca="false">SUM(J3:J55)</f>
        <v>1376</v>
      </c>
    </row>
    <row r="58" customFormat="false" ht="15" hidden="false" customHeight="false" outlineLevel="0" collapsed="false">
      <c r="A58" s="42" t="s">
        <v>564</v>
      </c>
    </row>
    <row r="60" customFormat="false" ht="15" hidden="false" customHeight="false" outlineLevel="0" collapsed="false">
      <c r="A60" s="43" t="s">
        <v>565</v>
      </c>
    </row>
    <row r="61" customFormat="false" ht="15" hidden="false" customHeight="false" outlineLevel="0" collapsed="false">
      <c r="A61" s="44" t="s">
        <v>566</v>
      </c>
    </row>
    <row r="62" customFormat="false" ht="15" hidden="false" customHeight="false" outlineLevel="0" collapsed="false">
      <c r="A62" s="44" t="s">
        <v>567</v>
      </c>
    </row>
    <row r="63" customFormat="false" ht="15" hidden="false" customHeight="false" outlineLevel="0" collapsed="false">
      <c r="A63" s="44" t="s">
        <v>568</v>
      </c>
    </row>
    <row r="64" customFormat="false" ht="15" hidden="false" customHeight="false" outlineLevel="0" collapsed="false">
      <c r="A64" s="44" t="s">
        <v>569</v>
      </c>
    </row>
    <row r="65" customFormat="false" ht="15" hidden="false" customHeight="false" outlineLevel="0" collapsed="false">
      <c r="A65" s="44" t="s">
        <v>570</v>
      </c>
    </row>
    <row r="66" customFormat="false" ht="15" hidden="false" customHeight="false" outlineLevel="0" collapsed="false">
      <c r="A66" s="44" t="s">
        <v>571</v>
      </c>
    </row>
    <row r="67" customFormat="false" ht="15" hidden="false" customHeight="false" outlineLevel="0" collapsed="false">
      <c r="A67" s="44" t="s">
        <v>572</v>
      </c>
    </row>
    <row r="68" customFormat="false" ht="15" hidden="false" customHeight="false" outlineLevel="0" collapsed="false">
      <c r="A68" s="44" t="s">
        <v>573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70"/>
  </cols>
  <sheetData>
    <row r="1" customFormat="false" ht="24" hidden="false" customHeight="true" outlineLevel="0" collapsed="false">
      <c r="A1" s="8" t="s">
        <v>574</v>
      </c>
      <c r="C1" s="3" t="s">
        <v>575</v>
      </c>
    </row>
    <row r="2" customFormat="false" ht="42" hidden="false" customHeight="true" outlineLevel="0" collapsed="false">
      <c r="A2" s="9" t="s">
        <v>77</v>
      </c>
      <c r="B2" s="9" t="s">
        <v>576</v>
      </c>
      <c r="C2" s="9" t="s">
        <v>577</v>
      </c>
      <c r="D2" s="9" t="s">
        <v>578</v>
      </c>
      <c r="E2" s="9" t="s">
        <v>78</v>
      </c>
      <c r="F2" s="9" t="s">
        <v>579</v>
      </c>
    </row>
    <row r="3" customFormat="false" ht="33.75" hidden="false" customHeight="true" outlineLevel="0" collapsed="false">
      <c r="A3" s="45" t="s">
        <v>99</v>
      </c>
      <c r="B3" s="46" t="s">
        <v>580</v>
      </c>
      <c r="C3" s="45" t="s">
        <v>581</v>
      </c>
      <c r="D3" s="45" t="n">
        <v>1</v>
      </c>
      <c r="E3" s="47" t="n">
        <f aca="false">05_Params!$B$9+05_Params!$B$10*D3</f>
        <v>0.95</v>
      </c>
      <c r="F3" s="48" t="s">
        <v>582</v>
      </c>
    </row>
    <row r="4" customFormat="false" ht="33.75" hidden="false" customHeight="true" outlineLevel="0" collapsed="false">
      <c r="A4" s="45" t="s">
        <v>119</v>
      </c>
      <c r="B4" s="46" t="s">
        <v>583</v>
      </c>
      <c r="C4" s="45" t="s">
        <v>584</v>
      </c>
      <c r="D4" s="45" t="n">
        <v>0.8</v>
      </c>
      <c r="E4" s="47" t="n">
        <f aca="false">05_Params!$B$9+05_Params!$B$10*D4</f>
        <v>0.86</v>
      </c>
      <c r="F4" s="48" t="s">
        <v>585</v>
      </c>
    </row>
    <row r="5" customFormat="false" ht="33.75" hidden="false" customHeight="true" outlineLevel="0" collapsed="false">
      <c r="A5" s="45" t="s">
        <v>229</v>
      </c>
      <c r="B5" s="46" t="s">
        <v>586</v>
      </c>
      <c r="C5" s="45" t="s">
        <v>587</v>
      </c>
      <c r="D5" s="45" t="n">
        <v>0.65</v>
      </c>
      <c r="E5" s="47" t="n">
        <f aca="false">05_Params!$B$9+05_Params!$B$10*D5</f>
        <v>0.7925</v>
      </c>
      <c r="F5" s="48" t="s">
        <v>588</v>
      </c>
    </row>
    <row r="6" customFormat="false" ht="33.75" hidden="false" customHeight="true" outlineLevel="0" collapsed="false">
      <c r="A6" s="45" t="s">
        <v>156</v>
      </c>
      <c r="B6" s="46" t="s">
        <v>589</v>
      </c>
      <c r="C6" s="45" t="s">
        <v>590</v>
      </c>
      <c r="D6" s="45" t="n">
        <v>0.55</v>
      </c>
      <c r="E6" s="47" t="n">
        <f aca="false">05_Params!$B$9+05_Params!$B$10*D6</f>
        <v>0.7475</v>
      </c>
      <c r="F6" s="48" t="s">
        <v>591</v>
      </c>
    </row>
    <row r="7" customFormat="false" ht="33.75" hidden="false" customHeight="true" outlineLevel="0" collapsed="false">
      <c r="A7" s="45" t="s">
        <v>218</v>
      </c>
      <c r="B7" s="46" t="s">
        <v>592</v>
      </c>
      <c r="C7" s="45" t="s">
        <v>47</v>
      </c>
      <c r="D7" s="45" t="n">
        <v>0.35</v>
      </c>
      <c r="E7" s="47" t="n">
        <f aca="false">05_Params!$B$9+05_Params!$B$10*D7</f>
        <v>0.6575</v>
      </c>
      <c r="F7" s="48" t="s">
        <v>593</v>
      </c>
    </row>
    <row r="8" customFormat="false" ht="33.75" hidden="false" customHeight="true" outlineLevel="0" collapsed="false">
      <c r="A8" s="45" t="s">
        <v>240</v>
      </c>
      <c r="B8" s="46" t="s">
        <v>594</v>
      </c>
      <c r="C8" s="45" t="s">
        <v>595</v>
      </c>
      <c r="D8" s="45" t="n">
        <v>0.15</v>
      </c>
      <c r="E8" s="47" t="n">
        <f aca="false">05_Params!$B$9+05_Params!$B$10*D8</f>
        <v>0.5675</v>
      </c>
      <c r="F8" s="48" t="s">
        <v>596</v>
      </c>
    </row>
    <row r="9" customFormat="false" ht="33.75" hidden="false" customHeight="true" outlineLevel="0" collapsed="false">
      <c r="A9" s="45" t="s">
        <v>597</v>
      </c>
      <c r="B9" s="46" t="s">
        <v>598</v>
      </c>
      <c r="C9" s="45" t="s">
        <v>599</v>
      </c>
      <c r="D9" s="45" t="n">
        <v>0</v>
      </c>
      <c r="E9" s="47" t="n">
        <f aca="false">05_Params!$B$9+05_Params!$B$10*D9</f>
        <v>0.5</v>
      </c>
      <c r="F9" s="48" t="s">
        <v>600</v>
      </c>
    </row>
    <row r="11" customFormat="false" ht="30" hidden="false" customHeight="true" outlineLevel="0" collapsed="false">
      <c r="A11" s="49" t="s">
        <v>601</v>
      </c>
      <c r="B11" s="49"/>
      <c r="C11" s="49"/>
      <c r="D11" s="49"/>
      <c r="E11" s="49"/>
      <c r="F11" s="49"/>
    </row>
  </sheetData>
  <mergeCells count="1"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4"/>
    <col collapsed="false" customWidth="true" hidden="false" outlineLevel="0" max="3" min="3" style="0" width="6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7" min="6" style="0" width="9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4" min="12" style="0" width="11"/>
    <col collapsed="false" customWidth="true" hidden="false" outlineLevel="0" max="15" min="15" style="0" width="10"/>
    <col collapsed="false" customWidth="true" hidden="false" outlineLevel="0" max="19" min="16" style="0" width="12"/>
    <col collapsed="false" customWidth="true" hidden="false" outlineLevel="0" max="29" min="20" style="0" width="11"/>
  </cols>
  <sheetData>
    <row r="1" customFormat="false" ht="24" hidden="false" customHeight="true" outlineLevel="0" collapsed="false">
      <c r="A1" s="8" t="s">
        <v>602</v>
      </c>
      <c r="C1" s="3" t="s">
        <v>603</v>
      </c>
      <c r="T1" s="50" t="s">
        <v>604</v>
      </c>
      <c r="U1" s="50" t="s">
        <v>605</v>
      </c>
      <c r="V1" s="50" t="s">
        <v>606</v>
      </c>
      <c r="W1" s="50" t="s">
        <v>607</v>
      </c>
      <c r="X1" s="50" t="s">
        <v>608</v>
      </c>
      <c r="Y1" s="50" t="s">
        <v>609</v>
      </c>
      <c r="Z1" s="50" t="s">
        <v>610</v>
      </c>
      <c r="AA1" s="50" t="s">
        <v>611</v>
      </c>
      <c r="AB1" s="50" t="s">
        <v>612</v>
      </c>
      <c r="AC1" s="50" t="s">
        <v>613</v>
      </c>
    </row>
    <row r="2" customFormat="false" ht="45.75" hidden="false" customHeight="true" outlineLevel="0" collapsed="false">
      <c r="A2" s="9" t="s">
        <v>61</v>
      </c>
      <c r="B2" s="9" t="s">
        <v>62</v>
      </c>
      <c r="C2" s="9" t="s">
        <v>63</v>
      </c>
      <c r="D2" s="9" t="s">
        <v>614</v>
      </c>
      <c r="E2" s="9" t="s">
        <v>77</v>
      </c>
      <c r="F2" s="9" t="s">
        <v>68</v>
      </c>
      <c r="G2" s="9" t="s">
        <v>615</v>
      </c>
      <c r="H2" s="9" t="s">
        <v>616</v>
      </c>
      <c r="I2" s="9" t="s">
        <v>617</v>
      </c>
      <c r="J2" s="9" t="s">
        <v>618</v>
      </c>
      <c r="K2" s="9" t="s">
        <v>619</v>
      </c>
      <c r="L2" s="9" t="s">
        <v>620</v>
      </c>
      <c r="M2" s="9" t="s">
        <v>81</v>
      </c>
      <c r="N2" s="9" t="s">
        <v>82</v>
      </c>
      <c r="O2" s="9" t="s">
        <v>78</v>
      </c>
      <c r="P2" s="9" t="s">
        <v>621</v>
      </c>
      <c r="Q2" s="9" t="s">
        <v>622</v>
      </c>
      <c r="R2" s="9" t="s">
        <v>623</v>
      </c>
      <c r="S2" s="9" t="s">
        <v>624</v>
      </c>
      <c r="T2" s="9" t="s">
        <v>625</v>
      </c>
      <c r="U2" s="9" t="s">
        <v>626</v>
      </c>
      <c r="V2" s="9" t="s">
        <v>627</v>
      </c>
      <c r="W2" s="9" t="s">
        <v>628</v>
      </c>
      <c r="X2" s="9" t="s">
        <v>629</v>
      </c>
      <c r="Y2" s="9" t="s">
        <v>630</v>
      </c>
      <c r="Z2" s="9" t="s">
        <v>631</v>
      </c>
      <c r="AA2" s="9" t="s">
        <v>632</v>
      </c>
      <c r="AB2" s="9" t="s">
        <v>633</v>
      </c>
      <c r="AC2" s="9" t="s">
        <v>634</v>
      </c>
    </row>
    <row r="3" customFormat="false" ht="21.75" hidden="false" customHeight="true" outlineLevel="0" collapsed="false">
      <c r="A3" s="51" t="s">
        <v>93</v>
      </c>
      <c r="B3" s="52" t="s">
        <v>94</v>
      </c>
      <c r="C3" s="51" t="n">
        <v>1</v>
      </c>
      <c r="D3" s="51" t="s">
        <v>99</v>
      </c>
      <c r="E3" s="51" t="s">
        <v>99</v>
      </c>
      <c r="F3" s="51" t="n">
        <v>4</v>
      </c>
      <c r="G3" s="51" t="n">
        <v>8</v>
      </c>
      <c r="H3" s="51" t="n">
        <v>5</v>
      </c>
      <c r="I3" s="51" t="n">
        <v>1</v>
      </c>
      <c r="J3" s="51" t="n">
        <v>40</v>
      </c>
      <c r="K3" s="51" t="n">
        <v>0.05</v>
      </c>
      <c r="L3" s="51" t="n">
        <v>3650</v>
      </c>
      <c r="M3" s="51" t="n">
        <v>0.2</v>
      </c>
      <c r="N3" s="51" t="n">
        <v>0.25</v>
      </c>
      <c r="O3" s="53" t="n">
        <f aca="false">INDEX(02_Freq_Weight!$E$3:$E$9,MATCH(E3,02_Freq_Weight!$A$3:$A$9,0))</f>
        <v>0.95</v>
      </c>
      <c r="P3" s="54" t="n">
        <f aca="false">$K3*05_Params!$B$4*POWER(1+$N3,05_Params!$B$13/12)*MIN($L3,05_Params!$B$13*30.44)*(1+$M3)</f>
        <v>27.396</v>
      </c>
      <c r="Q3" s="54" t="n">
        <f aca="false">$K3*05_Params!$B$4*POWER(1+$N3,05_Params!$B$14/12)*MIN($L3,05_Params!$B$14*30.44)*(1+$M3)</f>
        <v>68.49</v>
      </c>
      <c r="R3" s="54" t="n">
        <f aca="false">$K3*05_Params!$B$4*POWER(1+$N3,05_Params!$B$15/12)*MIN($L3,05_Params!$B$15*30.44)*(1+$M3)</f>
        <v>128.41875</v>
      </c>
      <c r="S3" s="54" t="n">
        <f aca="false">$K3*05_Params!$B$4*POWER(1+$N3,05_Params!$B$16/12)*MIN($L3,05_Params!$B$16*30.44)*(1+$M3)</f>
        <v>334.423828125</v>
      </c>
      <c r="T3" s="55" t="n">
        <v>0</v>
      </c>
      <c r="U3" s="55" t="n">
        <v>0</v>
      </c>
      <c r="V3" s="55" t="n">
        <v>0</v>
      </c>
      <c r="W3" s="55" t="n">
        <v>0</v>
      </c>
      <c r="X3" s="55" t="n">
        <v>0</v>
      </c>
      <c r="Y3" s="55" t="n">
        <v>0</v>
      </c>
      <c r="Z3" s="55" t="n">
        <v>0</v>
      </c>
      <c r="AA3" s="55" t="n">
        <v>0</v>
      </c>
      <c r="AB3" s="55" t="n">
        <v>0</v>
      </c>
      <c r="AC3" s="55" t="n">
        <v>0</v>
      </c>
    </row>
    <row r="4" customFormat="false" ht="21.75" hidden="false" customHeight="true" outlineLevel="0" collapsed="false">
      <c r="A4" s="51" t="s">
        <v>109</v>
      </c>
      <c r="B4" s="52" t="s">
        <v>110</v>
      </c>
      <c r="C4" s="51" t="n">
        <v>1</v>
      </c>
      <c r="D4" s="51" t="s">
        <v>99</v>
      </c>
      <c r="E4" s="51" t="s">
        <v>99</v>
      </c>
      <c r="F4" s="51" t="n">
        <v>1</v>
      </c>
      <c r="G4" s="51" t="n">
        <v>1</v>
      </c>
      <c r="H4" s="51" t="n">
        <v>0.5</v>
      </c>
      <c r="I4" s="51" t="n">
        <v>1</v>
      </c>
      <c r="J4" s="51" t="n">
        <v>10</v>
      </c>
      <c r="K4" s="51" t="n">
        <v>0.02</v>
      </c>
      <c r="L4" s="51" t="n">
        <v>3650</v>
      </c>
      <c r="M4" s="51" t="n">
        <v>0.1</v>
      </c>
      <c r="N4" s="51" t="n">
        <v>0.25</v>
      </c>
      <c r="O4" s="53" t="n">
        <f aca="false">INDEX(02_Freq_Weight!$E$3:$E$9,MATCH(E4,02_Freq_Weight!$A$3:$A$9,0))</f>
        <v>0.95</v>
      </c>
      <c r="P4" s="54" t="n">
        <f aca="false">$K4*05_Params!$B$4*POWER(1+$N4,05_Params!$B$13/12)*MIN($L4,05_Params!$B$13*30.44)*(1+$M4)</f>
        <v>10.0452</v>
      </c>
      <c r="Q4" s="54" t="n">
        <f aca="false">$K4*05_Params!$B$4*POWER(1+$N4,05_Params!$B$14/12)*MIN($L4,05_Params!$B$14*30.44)*(1+$M4)</f>
        <v>25.113</v>
      </c>
      <c r="R4" s="54" t="n">
        <f aca="false">$K4*05_Params!$B$4*POWER(1+$N4,05_Params!$B$15/12)*MIN($L4,05_Params!$B$15*30.44)*(1+$M4)</f>
        <v>47.086875</v>
      </c>
      <c r="S4" s="54" t="n">
        <f aca="false">$K4*05_Params!$B$4*POWER(1+$N4,05_Params!$B$16/12)*MIN($L4,05_Params!$B$16*30.44)*(1+$M4)</f>
        <v>122.6220703125</v>
      </c>
      <c r="T4" s="55" t="n">
        <v>0</v>
      </c>
      <c r="U4" s="56" t="n">
        <v>1</v>
      </c>
      <c r="V4" s="55" t="n">
        <v>0</v>
      </c>
      <c r="W4" s="55" t="n">
        <v>0</v>
      </c>
      <c r="X4" s="55" t="n">
        <v>0</v>
      </c>
      <c r="Y4" s="55" t="n">
        <v>0</v>
      </c>
      <c r="Z4" s="55" t="n">
        <v>0</v>
      </c>
      <c r="AA4" s="55" t="n">
        <v>0</v>
      </c>
      <c r="AB4" s="55" t="n">
        <v>0</v>
      </c>
      <c r="AC4" s="55" t="n">
        <v>0</v>
      </c>
    </row>
    <row r="5" customFormat="false" ht="21.75" hidden="false" customHeight="true" outlineLevel="0" collapsed="false">
      <c r="A5" s="51" t="s">
        <v>115</v>
      </c>
      <c r="B5" s="52" t="s">
        <v>116</v>
      </c>
      <c r="C5" s="51" t="n">
        <v>1</v>
      </c>
      <c r="D5" s="51" t="s">
        <v>118</v>
      </c>
      <c r="E5" s="51" t="s">
        <v>119</v>
      </c>
      <c r="F5" s="51" t="n">
        <v>2</v>
      </c>
      <c r="G5" s="51" t="n">
        <v>4</v>
      </c>
      <c r="H5" s="51" t="n">
        <v>0.2</v>
      </c>
      <c r="I5" s="51" t="n">
        <v>0</v>
      </c>
      <c r="J5" s="51" t="n">
        <v>60</v>
      </c>
      <c r="K5" s="51" t="n">
        <v>0.6</v>
      </c>
      <c r="L5" s="51" t="n">
        <v>30</v>
      </c>
      <c r="M5" s="51" t="n">
        <v>0.05</v>
      </c>
      <c r="N5" s="51" t="n">
        <v>0.2</v>
      </c>
      <c r="O5" s="53" t="n">
        <f aca="false">INDEX(02_Freq_Weight!$E$3:$E$9,MATCH(E5,02_Freq_Weight!$A$3:$A$9,0))</f>
        <v>0.86</v>
      </c>
      <c r="P5" s="54" t="n">
        <f aca="false">$K5*05_Params!$B$4*POWER(1+$N5,05_Params!$B$13/12)*MIN($L5,05_Params!$B$13*30.44)*(1+$M5)</f>
        <v>22.68</v>
      </c>
      <c r="Q5" s="54" t="n">
        <f aca="false">$K5*05_Params!$B$4*POWER(1+$N5,05_Params!$B$14/12)*MIN($L5,05_Params!$B$14*30.44)*(1+$M5)</f>
        <v>27.216</v>
      </c>
      <c r="R5" s="54" t="n">
        <f aca="false">$K5*05_Params!$B$4*POWER(1+$N5,05_Params!$B$15/12)*MIN($L5,05_Params!$B$15*30.44)*(1+$M5)</f>
        <v>32.6592</v>
      </c>
      <c r="S5" s="54" t="n">
        <f aca="false">$K5*05_Params!$B$4*POWER(1+$N5,05_Params!$B$16/12)*MIN($L5,05_Params!$B$16*30.44)*(1+$M5)</f>
        <v>47.029248</v>
      </c>
      <c r="T5" s="55" t="n">
        <v>0</v>
      </c>
      <c r="U5" s="55" t="n">
        <v>0</v>
      </c>
      <c r="V5" s="55" t="n">
        <v>0</v>
      </c>
      <c r="W5" s="55" t="n">
        <v>0</v>
      </c>
      <c r="X5" s="55" t="n">
        <v>0</v>
      </c>
      <c r="Y5" s="55" t="n">
        <v>0</v>
      </c>
      <c r="Z5" s="55" t="n">
        <v>0</v>
      </c>
      <c r="AA5" s="55" t="n">
        <v>0</v>
      </c>
      <c r="AB5" s="55" t="n">
        <v>0</v>
      </c>
      <c r="AC5" s="55" t="n">
        <v>0</v>
      </c>
    </row>
    <row r="6" customFormat="false" ht="21.75" hidden="false" customHeight="true" outlineLevel="0" collapsed="false">
      <c r="A6" s="51" t="s">
        <v>126</v>
      </c>
      <c r="B6" s="52" t="s">
        <v>127</v>
      </c>
      <c r="C6" s="51" t="n">
        <v>1</v>
      </c>
      <c r="D6" s="51" t="s">
        <v>99</v>
      </c>
      <c r="E6" s="51" t="s">
        <v>99</v>
      </c>
      <c r="F6" s="51" t="n">
        <v>2</v>
      </c>
      <c r="G6" s="51" t="n">
        <v>4</v>
      </c>
      <c r="H6" s="51" t="n">
        <v>2</v>
      </c>
      <c r="I6" s="51" t="n">
        <v>1</v>
      </c>
      <c r="J6" s="51" t="n">
        <v>20</v>
      </c>
      <c r="K6" s="51" t="n">
        <v>0.15</v>
      </c>
      <c r="L6" s="51" t="n">
        <v>180</v>
      </c>
      <c r="M6" s="51" t="n">
        <v>0.1</v>
      </c>
      <c r="N6" s="51" t="n">
        <v>0.15</v>
      </c>
      <c r="O6" s="53" t="n">
        <f aca="false">INDEX(02_Freq_Weight!$E$3:$E$9,MATCH(E6,02_Freq_Weight!$A$3:$A$9,0))</f>
        <v>0.95</v>
      </c>
      <c r="P6" s="54" t="n">
        <f aca="false">$K6*05_Params!$B$4*POWER(1+$N6,05_Params!$B$13/12)*MIN($L6,05_Params!$B$13*30.44)*(1+$M6)</f>
        <v>34.155</v>
      </c>
      <c r="Q6" s="54" t="n">
        <f aca="false">$K6*05_Params!$B$4*POWER(1+$N6,05_Params!$B$14/12)*MIN($L6,05_Params!$B$14*30.44)*(1+$M6)</f>
        <v>39.27825</v>
      </c>
      <c r="R6" s="54" t="n">
        <f aca="false">$K6*05_Params!$B$4*POWER(1+$N6,05_Params!$B$15/12)*MIN($L6,05_Params!$B$15*30.44)*(1+$M6)</f>
        <v>45.1699875</v>
      </c>
      <c r="S6" s="54" t="n">
        <f aca="false">$K6*05_Params!$B$4*POWER(1+$N6,05_Params!$B$16/12)*MIN($L6,05_Params!$B$16*30.44)*(1+$M6)</f>
        <v>59.73730846875</v>
      </c>
      <c r="T6" s="55" t="n">
        <v>0</v>
      </c>
      <c r="U6" s="56" t="n">
        <v>1</v>
      </c>
      <c r="V6" s="55" t="n">
        <v>0</v>
      </c>
      <c r="W6" s="55" t="n">
        <v>0</v>
      </c>
      <c r="X6" s="55" t="n">
        <v>0</v>
      </c>
      <c r="Y6" s="55" t="n">
        <v>0</v>
      </c>
      <c r="Z6" s="55" t="n">
        <v>0</v>
      </c>
      <c r="AA6" s="55" t="n">
        <v>0</v>
      </c>
      <c r="AB6" s="55" t="n">
        <v>0</v>
      </c>
      <c r="AC6" s="55" t="n">
        <v>0</v>
      </c>
    </row>
    <row r="7" customFormat="false" ht="21.75" hidden="false" customHeight="true" outlineLevel="0" collapsed="false">
      <c r="A7" s="51" t="s">
        <v>135</v>
      </c>
      <c r="B7" s="52" t="s">
        <v>136</v>
      </c>
      <c r="C7" s="51" t="n">
        <v>1</v>
      </c>
      <c r="D7" s="51" t="s">
        <v>99</v>
      </c>
      <c r="E7" s="51" t="s">
        <v>119</v>
      </c>
      <c r="F7" s="51" t="n">
        <v>2</v>
      </c>
      <c r="G7" s="51" t="n">
        <v>4</v>
      </c>
      <c r="H7" s="51" t="n">
        <v>0.3</v>
      </c>
      <c r="I7" s="51" t="n">
        <v>0</v>
      </c>
      <c r="J7" s="51" t="n">
        <v>60</v>
      </c>
      <c r="K7" s="51" t="n">
        <v>0.8</v>
      </c>
      <c r="L7" s="51" t="n">
        <v>7</v>
      </c>
      <c r="M7" s="51" t="n">
        <v>0.05</v>
      </c>
      <c r="N7" s="51" t="n">
        <v>0.2</v>
      </c>
      <c r="O7" s="53" t="n">
        <f aca="false">INDEX(02_Freq_Weight!$E$3:$E$9,MATCH(E7,02_Freq_Weight!$A$3:$A$9,0))</f>
        <v>0.86</v>
      </c>
      <c r="P7" s="54" t="n">
        <f aca="false">$K7*05_Params!$B$4*POWER(1+$N7,05_Params!$B$13/12)*MIN($L7,05_Params!$B$13*30.44)*(1+$M7)</f>
        <v>7.056</v>
      </c>
      <c r="Q7" s="54" t="n">
        <f aca="false">$K7*05_Params!$B$4*POWER(1+$N7,05_Params!$B$14/12)*MIN($L7,05_Params!$B$14*30.44)*(1+$M7)</f>
        <v>8.4672</v>
      </c>
      <c r="R7" s="54" t="n">
        <f aca="false">$K7*05_Params!$B$4*POWER(1+$N7,05_Params!$B$15/12)*MIN($L7,05_Params!$B$15*30.44)*(1+$M7)</f>
        <v>10.16064</v>
      </c>
      <c r="S7" s="54" t="n">
        <f aca="false">$K7*05_Params!$B$4*POWER(1+$N7,05_Params!$B$16/12)*MIN($L7,05_Params!$B$16*30.44)*(1+$M7)</f>
        <v>14.6313216</v>
      </c>
      <c r="T7" s="55" t="n">
        <v>0</v>
      </c>
      <c r="U7" s="55" t="n">
        <v>0</v>
      </c>
      <c r="V7" s="56" t="n">
        <v>1</v>
      </c>
      <c r="W7" s="55" t="n">
        <v>0</v>
      </c>
      <c r="X7" s="55" t="n">
        <v>0</v>
      </c>
      <c r="Y7" s="55" t="n">
        <v>0</v>
      </c>
      <c r="Z7" s="55" t="n">
        <v>0</v>
      </c>
      <c r="AA7" s="55" t="n">
        <v>0</v>
      </c>
      <c r="AB7" s="55" t="n">
        <v>0</v>
      </c>
      <c r="AC7" s="55" t="n">
        <v>0</v>
      </c>
    </row>
    <row r="8" customFormat="false" ht="21.75" hidden="false" customHeight="true" outlineLevel="0" collapsed="false">
      <c r="A8" s="51" t="s">
        <v>143</v>
      </c>
      <c r="B8" s="52" t="s">
        <v>144</v>
      </c>
      <c r="C8" s="51" t="n">
        <v>1</v>
      </c>
      <c r="D8" s="51" t="s">
        <v>99</v>
      </c>
      <c r="E8" s="51" t="s">
        <v>99</v>
      </c>
      <c r="F8" s="51" t="n">
        <v>1</v>
      </c>
      <c r="G8" s="51" t="n">
        <v>2</v>
      </c>
      <c r="H8" s="51" t="n">
        <v>1</v>
      </c>
      <c r="I8" s="51" t="n">
        <v>1</v>
      </c>
      <c r="J8" s="51" t="n">
        <v>10</v>
      </c>
      <c r="K8" s="51" t="n">
        <v>0.15</v>
      </c>
      <c r="L8" s="51" t="n">
        <v>90</v>
      </c>
      <c r="M8" s="51" t="n">
        <v>0.1</v>
      </c>
      <c r="N8" s="51" t="n">
        <v>0.2</v>
      </c>
      <c r="O8" s="53" t="n">
        <f aca="false">INDEX(02_Freq_Weight!$E$3:$E$9,MATCH(E8,02_Freq_Weight!$A$3:$A$9,0))</f>
        <v>0.95</v>
      </c>
      <c r="P8" s="54" t="n">
        <f aca="false">$K8*05_Params!$B$4*POWER(1+$N8,05_Params!$B$13/12)*MIN($L8,05_Params!$B$13*30.44)*(1+$M8)</f>
        <v>17.82</v>
      </c>
      <c r="Q8" s="54" t="n">
        <f aca="false">$K8*05_Params!$B$4*POWER(1+$N8,05_Params!$B$14/12)*MIN($L8,05_Params!$B$14*30.44)*(1+$M8)</f>
        <v>21.384</v>
      </c>
      <c r="R8" s="54" t="n">
        <f aca="false">$K8*05_Params!$B$4*POWER(1+$N8,05_Params!$B$15/12)*MIN($L8,05_Params!$B$15*30.44)*(1+$M8)</f>
        <v>25.6608</v>
      </c>
      <c r="S8" s="54" t="n">
        <f aca="false">$K8*05_Params!$B$4*POWER(1+$N8,05_Params!$B$16/12)*MIN($L8,05_Params!$B$16*30.44)*(1+$M8)</f>
        <v>36.951552</v>
      </c>
      <c r="T8" s="55" t="n">
        <v>0</v>
      </c>
      <c r="U8" s="55" t="n">
        <v>0</v>
      </c>
      <c r="V8" s="55" t="n">
        <v>0</v>
      </c>
      <c r="W8" s="55" t="n">
        <v>0</v>
      </c>
      <c r="X8" s="55" t="n">
        <v>0</v>
      </c>
      <c r="Y8" s="55" t="n">
        <v>0</v>
      </c>
      <c r="Z8" s="55" t="n">
        <v>0</v>
      </c>
      <c r="AA8" s="55" t="n">
        <v>0</v>
      </c>
      <c r="AB8" s="55" t="n">
        <v>0</v>
      </c>
      <c r="AC8" s="55" t="n">
        <v>0</v>
      </c>
    </row>
    <row r="9" customFormat="false" ht="21.75" hidden="false" customHeight="true" outlineLevel="0" collapsed="false">
      <c r="A9" s="51" t="s">
        <v>152</v>
      </c>
      <c r="B9" s="52" t="s">
        <v>153</v>
      </c>
      <c r="C9" s="51" t="n">
        <v>1</v>
      </c>
      <c r="D9" s="51" t="s">
        <v>118</v>
      </c>
      <c r="E9" s="51" t="s">
        <v>156</v>
      </c>
      <c r="F9" s="51" t="n">
        <v>1</v>
      </c>
      <c r="G9" s="51" t="n">
        <v>1</v>
      </c>
      <c r="H9" s="51" t="n">
        <v>0</v>
      </c>
      <c r="I9" s="51" t="n">
        <v>0</v>
      </c>
      <c r="J9" s="51" t="n">
        <v>5</v>
      </c>
      <c r="K9" s="51" t="n">
        <v>0.01</v>
      </c>
      <c r="L9" s="51" t="n">
        <v>90</v>
      </c>
      <c r="M9" s="51" t="n">
        <v>0.05</v>
      </c>
      <c r="N9" s="51" t="n">
        <v>0.1</v>
      </c>
      <c r="O9" s="53" t="n">
        <f aca="false">INDEX(02_Freq_Weight!$E$3:$E$9,MATCH(E9,02_Freq_Weight!$A$3:$A$9,0))</f>
        <v>0.7475</v>
      </c>
      <c r="P9" s="54" t="n">
        <f aca="false">$K9*05_Params!$B$4*POWER(1+$N9,05_Params!$B$13/12)*MIN($L9,05_Params!$B$13*30.44)*(1+$M9)</f>
        <v>1.0395</v>
      </c>
      <c r="Q9" s="54" t="n">
        <f aca="false">$K9*05_Params!$B$4*POWER(1+$N9,05_Params!$B$14/12)*MIN($L9,05_Params!$B$14*30.44)*(1+$M9)</f>
        <v>1.14345</v>
      </c>
      <c r="R9" s="54" t="n">
        <f aca="false">$K9*05_Params!$B$4*POWER(1+$N9,05_Params!$B$15/12)*MIN($L9,05_Params!$B$15*30.44)*(1+$M9)</f>
        <v>1.257795</v>
      </c>
      <c r="S9" s="54" t="n">
        <f aca="false">$K9*05_Params!$B$4*POWER(1+$N9,05_Params!$B$16/12)*MIN($L9,05_Params!$B$16*30.44)*(1+$M9)</f>
        <v>1.52193195</v>
      </c>
      <c r="T9" s="55" t="n">
        <v>0</v>
      </c>
      <c r="U9" s="56" t="n">
        <v>1</v>
      </c>
      <c r="V9" s="55" t="n">
        <v>0</v>
      </c>
      <c r="W9" s="55" t="n">
        <v>0</v>
      </c>
      <c r="X9" s="55" t="n">
        <v>0</v>
      </c>
      <c r="Y9" s="55" t="n">
        <v>0</v>
      </c>
      <c r="Z9" s="55" t="n">
        <v>0</v>
      </c>
      <c r="AA9" s="55" t="n">
        <v>0</v>
      </c>
      <c r="AB9" s="55" t="n">
        <v>0</v>
      </c>
      <c r="AC9" s="55" t="n">
        <v>0</v>
      </c>
    </row>
    <row r="10" customFormat="false" ht="21.75" hidden="false" customHeight="true" outlineLevel="0" collapsed="false">
      <c r="A10" s="51" t="s">
        <v>164</v>
      </c>
      <c r="B10" s="52" t="s">
        <v>165</v>
      </c>
      <c r="C10" s="51" t="n">
        <v>1</v>
      </c>
      <c r="D10" s="51" t="s">
        <v>99</v>
      </c>
      <c r="E10" s="51" t="s">
        <v>99</v>
      </c>
      <c r="F10" s="51" t="n">
        <v>1</v>
      </c>
      <c r="G10" s="51" t="n">
        <v>1</v>
      </c>
      <c r="H10" s="51" t="n">
        <v>0.3</v>
      </c>
      <c r="I10" s="51" t="n">
        <v>1</v>
      </c>
      <c r="J10" s="51" t="n">
        <v>10</v>
      </c>
      <c r="K10" s="51" t="n">
        <v>0.1</v>
      </c>
      <c r="L10" s="51" t="n">
        <v>90</v>
      </c>
      <c r="M10" s="51" t="n">
        <v>0.1</v>
      </c>
      <c r="N10" s="51" t="n">
        <v>0.2</v>
      </c>
      <c r="O10" s="53" t="n">
        <f aca="false">INDEX(02_Freq_Weight!$E$3:$E$9,MATCH(E10,02_Freq_Weight!$A$3:$A$9,0))</f>
        <v>0.95</v>
      </c>
      <c r="P10" s="54" t="n">
        <f aca="false">$K10*05_Params!$B$4*POWER(1+$N10,05_Params!$B$13/12)*MIN($L10,05_Params!$B$13*30.44)*(1+$M10)</f>
        <v>11.88</v>
      </c>
      <c r="Q10" s="54" t="n">
        <f aca="false">$K10*05_Params!$B$4*POWER(1+$N10,05_Params!$B$14/12)*MIN($L10,05_Params!$B$14*30.44)*(1+$M10)</f>
        <v>14.256</v>
      </c>
      <c r="R10" s="54" t="n">
        <f aca="false">$K10*05_Params!$B$4*POWER(1+$N10,05_Params!$B$15/12)*MIN($L10,05_Params!$B$15*30.44)*(1+$M10)</f>
        <v>17.1072</v>
      </c>
      <c r="S10" s="54" t="n">
        <f aca="false">$K10*05_Params!$B$4*POWER(1+$N10,05_Params!$B$16/12)*MIN($L10,05_Params!$B$16*30.44)*(1+$M10)</f>
        <v>24.634368</v>
      </c>
      <c r="T10" s="56" t="n">
        <v>1</v>
      </c>
      <c r="U10" s="55" t="n">
        <v>0</v>
      </c>
      <c r="V10" s="55" t="n">
        <v>0</v>
      </c>
      <c r="W10" s="55" t="n">
        <v>0</v>
      </c>
      <c r="X10" s="55" t="n">
        <v>0</v>
      </c>
      <c r="Y10" s="55" t="n">
        <v>0</v>
      </c>
      <c r="Z10" s="55" t="n">
        <v>0</v>
      </c>
      <c r="AA10" s="55" t="n">
        <v>0</v>
      </c>
      <c r="AB10" s="55" t="n">
        <v>0</v>
      </c>
      <c r="AC10" s="55" t="n">
        <v>0</v>
      </c>
    </row>
    <row r="11" customFormat="false" ht="21.75" hidden="false" customHeight="true" outlineLevel="0" collapsed="false">
      <c r="A11" s="57" t="s">
        <v>175</v>
      </c>
      <c r="B11" s="58" t="s">
        <v>176</v>
      </c>
      <c r="C11" s="57" t="n">
        <v>2</v>
      </c>
      <c r="D11" s="57" t="s">
        <v>99</v>
      </c>
      <c r="E11" s="57" t="s">
        <v>99</v>
      </c>
      <c r="F11" s="57" t="n">
        <v>2</v>
      </c>
      <c r="G11" s="57" t="n">
        <v>4</v>
      </c>
      <c r="H11" s="57" t="n">
        <v>3.5</v>
      </c>
      <c r="I11" s="57" t="n">
        <v>1</v>
      </c>
      <c r="J11" s="57" t="n">
        <v>30</v>
      </c>
      <c r="K11" s="57" t="n">
        <v>0.1</v>
      </c>
      <c r="L11" s="57" t="n">
        <v>365</v>
      </c>
      <c r="M11" s="57" t="n">
        <v>0.3</v>
      </c>
      <c r="N11" s="57" t="n">
        <v>0.2</v>
      </c>
      <c r="O11" s="59" t="n">
        <f aca="false">INDEX(02_Freq_Weight!$E$3:$E$9,MATCH(E11,02_Freq_Weight!$A$3:$A$9,0))</f>
        <v>0.95</v>
      </c>
      <c r="P11" s="60" t="n">
        <f aca="false">$K11*05_Params!$B$4*POWER(1+$N11,05_Params!$B$13/12)*MIN($L11,05_Params!$B$13*30.44)*(1+$M11)</f>
        <v>56.94</v>
      </c>
      <c r="Q11" s="60" t="n">
        <f aca="false">$K11*05_Params!$B$4*POWER(1+$N11,05_Params!$B$14/12)*MIN($L11,05_Params!$B$14*30.44)*(1+$M11)</f>
        <v>68.328</v>
      </c>
      <c r="R11" s="60" t="n">
        <f aca="false">$K11*05_Params!$B$4*POWER(1+$N11,05_Params!$B$15/12)*MIN($L11,05_Params!$B$15*30.44)*(1+$M11)</f>
        <v>81.9936</v>
      </c>
      <c r="S11" s="60" t="n">
        <f aca="false">$K11*05_Params!$B$4*POWER(1+$N11,05_Params!$B$16/12)*MIN($L11,05_Params!$B$16*30.44)*(1+$M11)</f>
        <v>118.070784</v>
      </c>
      <c r="T11" s="55" t="n">
        <v>0</v>
      </c>
      <c r="U11" s="56" t="n">
        <v>1</v>
      </c>
      <c r="V11" s="55" t="n">
        <v>0</v>
      </c>
      <c r="W11" s="55" t="n">
        <v>0</v>
      </c>
      <c r="X11" s="55" t="n">
        <v>0</v>
      </c>
      <c r="Y11" s="55" t="n">
        <v>0</v>
      </c>
      <c r="Z11" s="55" t="n">
        <v>0</v>
      </c>
      <c r="AA11" s="55" t="n">
        <v>0</v>
      </c>
      <c r="AB11" s="55" t="n">
        <v>0</v>
      </c>
      <c r="AC11" s="55" t="n">
        <v>0</v>
      </c>
    </row>
    <row r="12" customFormat="false" ht="21.75" hidden="false" customHeight="true" outlineLevel="0" collapsed="false">
      <c r="A12" s="57" t="s">
        <v>187</v>
      </c>
      <c r="B12" s="58" t="s">
        <v>188</v>
      </c>
      <c r="C12" s="57" t="n">
        <v>2</v>
      </c>
      <c r="D12" s="57" t="s">
        <v>99</v>
      </c>
      <c r="E12" s="57" t="s">
        <v>99</v>
      </c>
      <c r="F12" s="57" t="n">
        <v>2</v>
      </c>
      <c r="G12" s="57" t="n">
        <v>4</v>
      </c>
      <c r="H12" s="57" t="n">
        <v>3</v>
      </c>
      <c r="I12" s="57" t="n">
        <v>1</v>
      </c>
      <c r="J12" s="57" t="n">
        <v>20</v>
      </c>
      <c r="K12" s="57" t="n">
        <v>0.05</v>
      </c>
      <c r="L12" s="57" t="n">
        <v>2555</v>
      </c>
      <c r="M12" s="57" t="n">
        <v>0.35</v>
      </c>
      <c r="N12" s="57" t="n">
        <v>0.2</v>
      </c>
      <c r="O12" s="59" t="n">
        <f aca="false">INDEX(02_Freq_Weight!$E$3:$E$9,MATCH(E12,02_Freq_Weight!$A$3:$A$9,0))</f>
        <v>0.95</v>
      </c>
      <c r="P12" s="60" t="n">
        <f aca="false">$K12*05_Params!$B$4*POWER(1+$N12,05_Params!$B$13/12)*MIN($L12,05_Params!$B$13*30.44)*(1+$M12)</f>
        <v>29.58768</v>
      </c>
      <c r="Q12" s="60" t="n">
        <f aca="false">$K12*05_Params!$B$4*POWER(1+$N12,05_Params!$B$14/12)*MIN($L12,05_Params!$B$14*30.44)*(1+$M12)</f>
        <v>71.010432</v>
      </c>
      <c r="R12" s="60" t="n">
        <f aca="false">$K12*05_Params!$B$4*POWER(1+$N12,05_Params!$B$15/12)*MIN($L12,05_Params!$B$15*30.44)*(1+$M12)</f>
        <v>127.8187776</v>
      </c>
      <c r="S12" s="60" t="n">
        <f aca="false">$K12*05_Params!$B$4*POWER(1+$N12,05_Params!$B$16/12)*MIN($L12,05_Params!$B$16*30.44)*(1+$M12)</f>
        <v>306.76506624</v>
      </c>
      <c r="T12" s="55" t="n">
        <v>0</v>
      </c>
      <c r="U12" s="56" t="n">
        <v>1</v>
      </c>
      <c r="V12" s="55" t="n">
        <v>0</v>
      </c>
      <c r="W12" s="55" t="n">
        <v>0</v>
      </c>
      <c r="X12" s="55" t="n">
        <v>0</v>
      </c>
      <c r="Y12" s="55" t="n">
        <v>0</v>
      </c>
      <c r="Z12" s="55" t="n">
        <v>0</v>
      </c>
      <c r="AA12" s="55" t="n">
        <v>0</v>
      </c>
      <c r="AB12" s="55" t="n">
        <v>0</v>
      </c>
      <c r="AC12" s="55" t="n">
        <v>0</v>
      </c>
    </row>
    <row r="13" customFormat="false" ht="21.75" hidden="false" customHeight="true" outlineLevel="0" collapsed="false">
      <c r="A13" s="57" t="s">
        <v>195</v>
      </c>
      <c r="B13" s="58" t="s">
        <v>196</v>
      </c>
      <c r="C13" s="57" t="n">
        <v>2</v>
      </c>
      <c r="D13" s="57" t="s">
        <v>118</v>
      </c>
      <c r="E13" s="57" t="s">
        <v>119</v>
      </c>
      <c r="F13" s="57" t="n">
        <v>2</v>
      </c>
      <c r="G13" s="57" t="n">
        <v>4</v>
      </c>
      <c r="H13" s="57" t="n">
        <v>0</v>
      </c>
      <c r="I13" s="57" t="n">
        <v>0</v>
      </c>
      <c r="J13" s="57" t="n">
        <v>5</v>
      </c>
      <c r="K13" s="57" t="n">
        <v>0.02</v>
      </c>
      <c r="L13" s="57" t="n">
        <v>180</v>
      </c>
      <c r="M13" s="57" t="n">
        <v>0.05</v>
      </c>
      <c r="N13" s="57" t="n">
        <v>0.15</v>
      </c>
      <c r="O13" s="59" t="n">
        <f aca="false">INDEX(02_Freq_Weight!$E$3:$E$9,MATCH(E13,02_Freq_Weight!$A$3:$A$9,0))</f>
        <v>0.86</v>
      </c>
      <c r="P13" s="60" t="n">
        <f aca="false">$K13*05_Params!$B$4*POWER(1+$N13,05_Params!$B$13/12)*MIN($L13,05_Params!$B$13*30.44)*(1+$M13)</f>
        <v>4.347</v>
      </c>
      <c r="Q13" s="60" t="n">
        <f aca="false">$K13*05_Params!$B$4*POWER(1+$N13,05_Params!$B$14/12)*MIN($L13,05_Params!$B$14*30.44)*(1+$M13)</f>
        <v>4.99905</v>
      </c>
      <c r="R13" s="60" t="n">
        <f aca="false">$K13*05_Params!$B$4*POWER(1+$N13,05_Params!$B$15/12)*MIN($L13,05_Params!$B$15*30.44)*(1+$M13)</f>
        <v>5.7489075</v>
      </c>
      <c r="S13" s="60" t="n">
        <f aca="false">$K13*05_Params!$B$4*POWER(1+$N13,05_Params!$B$16/12)*MIN($L13,05_Params!$B$16*30.44)*(1+$M13)</f>
        <v>7.60293016875</v>
      </c>
      <c r="T13" s="55" t="n">
        <v>0</v>
      </c>
      <c r="U13" s="55" t="n">
        <v>0</v>
      </c>
      <c r="V13" s="56" t="n">
        <v>1</v>
      </c>
      <c r="W13" s="55" t="n">
        <v>0</v>
      </c>
      <c r="X13" s="55" t="n">
        <v>0</v>
      </c>
      <c r="Y13" s="55" t="n">
        <v>0</v>
      </c>
      <c r="Z13" s="55" t="n">
        <v>0</v>
      </c>
      <c r="AA13" s="55" t="n">
        <v>0</v>
      </c>
      <c r="AB13" s="55" t="n">
        <v>0</v>
      </c>
      <c r="AC13" s="55" t="n">
        <v>0</v>
      </c>
    </row>
    <row r="14" customFormat="false" ht="21.75" hidden="false" customHeight="true" outlineLevel="0" collapsed="false">
      <c r="A14" s="57" t="s">
        <v>205</v>
      </c>
      <c r="B14" s="58" t="s">
        <v>206</v>
      </c>
      <c r="C14" s="57" t="n">
        <v>2</v>
      </c>
      <c r="D14" s="57" t="s">
        <v>118</v>
      </c>
      <c r="E14" s="57" t="s">
        <v>119</v>
      </c>
      <c r="F14" s="57" t="n">
        <v>1</v>
      </c>
      <c r="G14" s="57" t="n">
        <v>2</v>
      </c>
      <c r="H14" s="57" t="n">
        <v>0</v>
      </c>
      <c r="I14" s="57" t="n">
        <v>0</v>
      </c>
      <c r="J14" s="57" t="n">
        <v>3</v>
      </c>
      <c r="K14" s="57" t="n">
        <v>0.01</v>
      </c>
      <c r="L14" s="57" t="n">
        <v>365</v>
      </c>
      <c r="M14" s="57" t="n">
        <v>0.05</v>
      </c>
      <c r="N14" s="57" t="n">
        <v>0.1</v>
      </c>
      <c r="O14" s="59" t="n">
        <f aca="false">INDEX(02_Freq_Weight!$E$3:$E$9,MATCH(E14,02_Freq_Weight!$A$3:$A$9,0))</f>
        <v>0.86</v>
      </c>
      <c r="P14" s="60" t="n">
        <f aca="false">$K14*05_Params!$B$4*POWER(1+$N14,05_Params!$B$13/12)*MIN($L14,05_Params!$B$13*30.44)*(1+$M14)</f>
        <v>4.21575</v>
      </c>
      <c r="Q14" s="60" t="n">
        <f aca="false">$K14*05_Params!$B$4*POWER(1+$N14,05_Params!$B$14/12)*MIN($L14,05_Params!$B$14*30.44)*(1+$M14)</f>
        <v>4.637325</v>
      </c>
      <c r="R14" s="60" t="n">
        <f aca="false">$K14*05_Params!$B$4*POWER(1+$N14,05_Params!$B$15/12)*MIN($L14,05_Params!$B$15*30.44)*(1+$M14)</f>
        <v>5.1010575</v>
      </c>
      <c r="S14" s="60" t="n">
        <f aca="false">$K14*05_Params!$B$4*POWER(1+$N14,05_Params!$B$16/12)*MIN($L14,05_Params!$B$16*30.44)*(1+$M14)</f>
        <v>6.172279575</v>
      </c>
      <c r="T14" s="55" t="n">
        <v>0</v>
      </c>
      <c r="U14" s="55" t="n">
        <v>0</v>
      </c>
      <c r="V14" s="56" t="n">
        <v>1</v>
      </c>
      <c r="W14" s="55" t="n">
        <v>0</v>
      </c>
      <c r="X14" s="55" t="n">
        <v>0</v>
      </c>
      <c r="Y14" s="55" t="n">
        <v>0</v>
      </c>
      <c r="Z14" s="55" t="n">
        <v>0</v>
      </c>
      <c r="AA14" s="55" t="n">
        <v>0</v>
      </c>
      <c r="AB14" s="55" t="n">
        <v>0</v>
      </c>
      <c r="AC14" s="55" t="n">
        <v>0</v>
      </c>
    </row>
    <row r="15" customFormat="false" ht="21.75" hidden="false" customHeight="true" outlineLevel="0" collapsed="false">
      <c r="A15" s="57" t="s">
        <v>214</v>
      </c>
      <c r="B15" s="58" t="s">
        <v>215</v>
      </c>
      <c r="C15" s="57" t="n">
        <v>2</v>
      </c>
      <c r="D15" s="57" t="s">
        <v>217</v>
      </c>
      <c r="E15" s="57" t="s">
        <v>218</v>
      </c>
      <c r="F15" s="57" t="n">
        <v>2</v>
      </c>
      <c r="G15" s="57" t="n">
        <v>4</v>
      </c>
      <c r="H15" s="57" t="n">
        <v>0.5</v>
      </c>
      <c r="I15" s="57" t="n">
        <v>0</v>
      </c>
      <c r="J15" s="57" t="n">
        <v>15</v>
      </c>
      <c r="K15" s="57" t="n">
        <v>0.05</v>
      </c>
      <c r="L15" s="57" t="n">
        <v>365</v>
      </c>
      <c r="M15" s="57" t="n">
        <v>0.1</v>
      </c>
      <c r="N15" s="57" t="n">
        <v>0.15</v>
      </c>
      <c r="O15" s="59" t="n">
        <f aca="false">INDEX(02_Freq_Weight!$E$3:$E$9,MATCH(E15,02_Freq_Weight!$A$3:$A$9,0))</f>
        <v>0.6575</v>
      </c>
      <c r="P15" s="60" t="n">
        <f aca="false">$K15*05_Params!$B$4*POWER(1+$N15,05_Params!$B$13/12)*MIN($L15,05_Params!$B$13*30.44)*(1+$M15)</f>
        <v>23.08625</v>
      </c>
      <c r="Q15" s="60" t="n">
        <f aca="false">$K15*05_Params!$B$4*POWER(1+$N15,05_Params!$B$14/12)*MIN($L15,05_Params!$B$14*30.44)*(1+$M15)</f>
        <v>26.5491875</v>
      </c>
      <c r="R15" s="60" t="n">
        <f aca="false">$K15*05_Params!$B$4*POWER(1+$N15,05_Params!$B$15/12)*MIN($L15,05_Params!$B$15*30.44)*(1+$M15)</f>
        <v>30.531565625</v>
      </c>
      <c r="S15" s="60" t="n">
        <f aca="false">$K15*05_Params!$B$4*POWER(1+$N15,05_Params!$B$16/12)*MIN($L15,05_Params!$B$16*30.44)*(1+$M15)</f>
        <v>40.3779955390625</v>
      </c>
      <c r="T15" s="55" t="n">
        <v>0</v>
      </c>
      <c r="U15" s="55" t="n">
        <v>0</v>
      </c>
      <c r="V15" s="55" t="n">
        <v>0</v>
      </c>
      <c r="W15" s="56" t="n">
        <v>1</v>
      </c>
      <c r="X15" s="55" t="n">
        <v>0</v>
      </c>
      <c r="Y15" s="55" t="n">
        <v>0</v>
      </c>
      <c r="Z15" s="55" t="n">
        <v>0</v>
      </c>
      <c r="AA15" s="55" t="n">
        <v>0</v>
      </c>
      <c r="AB15" s="55" t="n">
        <v>0</v>
      </c>
      <c r="AC15" s="55" t="n">
        <v>0</v>
      </c>
    </row>
    <row r="16" customFormat="false" ht="21.75" hidden="false" customHeight="true" outlineLevel="0" collapsed="false">
      <c r="A16" s="57" t="s">
        <v>226</v>
      </c>
      <c r="B16" s="58" t="s">
        <v>227</v>
      </c>
      <c r="C16" s="57" t="n">
        <v>2</v>
      </c>
      <c r="D16" s="57" t="s">
        <v>118</v>
      </c>
      <c r="E16" s="57" t="s">
        <v>229</v>
      </c>
      <c r="F16" s="57" t="n">
        <v>2</v>
      </c>
      <c r="G16" s="57" t="n">
        <v>2</v>
      </c>
      <c r="H16" s="57" t="n">
        <v>0</v>
      </c>
      <c r="I16" s="57" t="n">
        <v>0</v>
      </c>
      <c r="J16" s="57" t="n">
        <v>10</v>
      </c>
      <c r="K16" s="57" t="n">
        <v>0.03</v>
      </c>
      <c r="L16" s="57" t="n">
        <v>365</v>
      </c>
      <c r="M16" s="57" t="n">
        <v>0.05</v>
      </c>
      <c r="N16" s="57" t="n">
        <v>0.15</v>
      </c>
      <c r="O16" s="59" t="n">
        <f aca="false">INDEX(02_Freq_Weight!$E$3:$E$9,MATCH(E16,02_Freq_Weight!$A$3:$A$9,0))</f>
        <v>0.7925</v>
      </c>
      <c r="P16" s="60" t="n">
        <f aca="false">$K16*05_Params!$B$4*POWER(1+$N16,05_Params!$B$13/12)*MIN($L16,05_Params!$B$13*30.44)*(1+$M16)</f>
        <v>13.222125</v>
      </c>
      <c r="Q16" s="60" t="n">
        <f aca="false">$K16*05_Params!$B$4*POWER(1+$N16,05_Params!$B$14/12)*MIN($L16,05_Params!$B$14*30.44)*(1+$M16)</f>
        <v>15.20544375</v>
      </c>
      <c r="R16" s="60" t="n">
        <f aca="false">$K16*05_Params!$B$4*POWER(1+$N16,05_Params!$B$15/12)*MIN($L16,05_Params!$B$15*30.44)*(1+$M16)</f>
        <v>17.4862603125</v>
      </c>
      <c r="S16" s="60" t="n">
        <f aca="false">$K16*05_Params!$B$4*POWER(1+$N16,05_Params!$B$16/12)*MIN($L16,05_Params!$B$16*30.44)*(1+$M16)</f>
        <v>23.1255792632812</v>
      </c>
      <c r="T16" s="55" t="n">
        <v>0</v>
      </c>
      <c r="U16" s="55" t="n">
        <v>0</v>
      </c>
      <c r="V16" s="56" t="n">
        <v>1</v>
      </c>
      <c r="W16" s="55" t="n">
        <v>0</v>
      </c>
      <c r="X16" s="55" t="n">
        <v>0</v>
      </c>
      <c r="Y16" s="55" t="n">
        <v>0</v>
      </c>
      <c r="Z16" s="55" t="n">
        <v>0</v>
      </c>
      <c r="AA16" s="55" t="n">
        <v>0</v>
      </c>
      <c r="AB16" s="55" t="n">
        <v>0</v>
      </c>
      <c r="AC16" s="55" t="n">
        <v>0</v>
      </c>
    </row>
    <row r="17" customFormat="false" ht="21.75" hidden="false" customHeight="true" outlineLevel="0" collapsed="false">
      <c r="A17" s="57" t="s">
        <v>236</v>
      </c>
      <c r="B17" s="58" t="s">
        <v>237</v>
      </c>
      <c r="C17" s="57" t="n">
        <v>2</v>
      </c>
      <c r="D17" s="57" t="s">
        <v>99</v>
      </c>
      <c r="E17" s="57" t="s">
        <v>240</v>
      </c>
      <c r="F17" s="57" t="n">
        <v>4</v>
      </c>
      <c r="G17" s="57" t="n">
        <v>8</v>
      </c>
      <c r="H17" s="57" t="n">
        <v>2</v>
      </c>
      <c r="I17" s="57" t="n">
        <v>1</v>
      </c>
      <c r="J17" s="57" t="n">
        <v>30</v>
      </c>
      <c r="K17" s="57" t="n">
        <v>0.05</v>
      </c>
      <c r="L17" s="57" t="n">
        <v>730</v>
      </c>
      <c r="M17" s="57" t="n">
        <v>0.2</v>
      </c>
      <c r="N17" s="57" t="n">
        <v>0.1</v>
      </c>
      <c r="O17" s="59" t="n">
        <f aca="false">INDEX(02_Freq_Weight!$E$3:$E$9,MATCH(E17,02_Freq_Weight!$A$3:$A$9,0))</f>
        <v>0.5675</v>
      </c>
      <c r="P17" s="60" t="n">
        <f aca="false">$K17*05_Params!$B$4*POWER(1+$N17,05_Params!$B$13/12)*MIN($L17,05_Params!$B$13*30.44)*(1+$M17)</f>
        <v>24.10848</v>
      </c>
      <c r="Q17" s="60" t="n">
        <f aca="false">$K17*05_Params!$B$4*POWER(1+$N17,05_Params!$B$14/12)*MIN($L17,05_Params!$B$14*30.44)*(1+$M17)</f>
        <v>52.998</v>
      </c>
      <c r="R17" s="60" t="n">
        <f aca="false">$K17*05_Params!$B$4*POWER(1+$N17,05_Params!$B$15/12)*MIN($L17,05_Params!$B$15*30.44)*(1+$M17)</f>
        <v>58.2978</v>
      </c>
      <c r="S17" s="60" t="n">
        <f aca="false">$K17*05_Params!$B$4*POWER(1+$N17,05_Params!$B$16/12)*MIN($L17,05_Params!$B$16*30.44)*(1+$M17)</f>
        <v>70.540338</v>
      </c>
      <c r="T17" s="55" t="n">
        <v>0</v>
      </c>
      <c r="U17" s="55" t="n">
        <v>0</v>
      </c>
      <c r="V17" s="55" t="n">
        <v>0</v>
      </c>
      <c r="W17" s="55" t="n">
        <v>0</v>
      </c>
      <c r="X17" s="55" t="n">
        <v>0</v>
      </c>
      <c r="Y17" s="55" t="n">
        <v>0</v>
      </c>
      <c r="Z17" s="55" t="n">
        <v>0</v>
      </c>
      <c r="AA17" s="55" t="n">
        <v>0</v>
      </c>
      <c r="AB17" s="55" t="n">
        <v>0</v>
      </c>
      <c r="AC17" s="55" t="n">
        <v>0</v>
      </c>
    </row>
    <row r="18" customFormat="false" ht="21.75" hidden="false" customHeight="true" outlineLevel="0" collapsed="false">
      <c r="A18" s="57" t="s">
        <v>246</v>
      </c>
      <c r="B18" s="58" t="s">
        <v>247</v>
      </c>
      <c r="C18" s="57" t="n">
        <v>2</v>
      </c>
      <c r="D18" s="57" t="s">
        <v>118</v>
      </c>
      <c r="E18" s="57" t="s">
        <v>119</v>
      </c>
      <c r="F18" s="57" t="n">
        <v>1</v>
      </c>
      <c r="G18" s="57" t="n">
        <v>2</v>
      </c>
      <c r="H18" s="57" t="n">
        <v>0</v>
      </c>
      <c r="I18" s="57" t="n">
        <v>0</v>
      </c>
      <c r="J18" s="57" t="n">
        <v>3</v>
      </c>
      <c r="K18" s="57" t="n">
        <v>0.01</v>
      </c>
      <c r="L18" s="57" t="n">
        <v>90</v>
      </c>
      <c r="M18" s="57" t="n">
        <v>0.05</v>
      </c>
      <c r="N18" s="57" t="n">
        <v>0.1</v>
      </c>
      <c r="O18" s="59" t="n">
        <f aca="false">INDEX(02_Freq_Weight!$E$3:$E$9,MATCH(E18,02_Freq_Weight!$A$3:$A$9,0))</f>
        <v>0.86</v>
      </c>
      <c r="P18" s="60" t="n">
        <f aca="false">$K18*05_Params!$B$4*POWER(1+$N18,05_Params!$B$13/12)*MIN($L18,05_Params!$B$13*30.44)*(1+$M18)</f>
        <v>1.0395</v>
      </c>
      <c r="Q18" s="60" t="n">
        <f aca="false">$K18*05_Params!$B$4*POWER(1+$N18,05_Params!$B$14/12)*MIN($L18,05_Params!$B$14*30.44)*(1+$M18)</f>
        <v>1.14345</v>
      </c>
      <c r="R18" s="60" t="n">
        <f aca="false">$K18*05_Params!$B$4*POWER(1+$N18,05_Params!$B$15/12)*MIN($L18,05_Params!$B$15*30.44)*(1+$M18)</f>
        <v>1.257795</v>
      </c>
      <c r="S18" s="60" t="n">
        <f aca="false">$K18*05_Params!$B$4*POWER(1+$N18,05_Params!$B$16/12)*MIN($L18,05_Params!$B$16*30.44)*(1+$M18)</f>
        <v>1.52193195</v>
      </c>
      <c r="T18" s="55" t="n">
        <v>0</v>
      </c>
      <c r="U18" s="55" t="n">
        <v>0</v>
      </c>
      <c r="V18" s="56" t="n">
        <v>1</v>
      </c>
      <c r="W18" s="55" t="n">
        <v>0</v>
      </c>
      <c r="X18" s="55" t="n">
        <v>0</v>
      </c>
      <c r="Y18" s="55" t="n">
        <v>0</v>
      </c>
      <c r="Z18" s="55" t="n">
        <v>0</v>
      </c>
      <c r="AA18" s="55" t="n">
        <v>0</v>
      </c>
      <c r="AB18" s="55" t="n">
        <v>0</v>
      </c>
      <c r="AC18" s="55" t="n">
        <v>0</v>
      </c>
    </row>
    <row r="19" customFormat="false" ht="21.75" hidden="false" customHeight="true" outlineLevel="0" collapsed="false">
      <c r="A19" s="61" t="s">
        <v>254</v>
      </c>
      <c r="B19" s="62" t="s">
        <v>255</v>
      </c>
      <c r="C19" s="61" t="n">
        <v>3</v>
      </c>
      <c r="D19" s="61" t="s">
        <v>118</v>
      </c>
      <c r="E19" s="61" t="s">
        <v>119</v>
      </c>
      <c r="F19" s="61" t="n">
        <v>2</v>
      </c>
      <c r="G19" s="61" t="n">
        <v>4</v>
      </c>
      <c r="H19" s="61" t="n">
        <v>0</v>
      </c>
      <c r="I19" s="61" t="n">
        <v>0</v>
      </c>
      <c r="J19" s="61" t="n">
        <v>40</v>
      </c>
      <c r="K19" s="61" t="n">
        <v>0.3</v>
      </c>
      <c r="L19" s="61" t="n">
        <v>30</v>
      </c>
      <c r="M19" s="61" t="n">
        <v>0.05</v>
      </c>
      <c r="N19" s="61" t="n">
        <v>0.2</v>
      </c>
      <c r="O19" s="63" t="n">
        <f aca="false">INDEX(02_Freq_Weight!$E$3:$E$9,MATCH(E19,02_Freq_Weight!$A$3:$A$9,0))</f>
        <v>0.86</v>
      </c>
      <c r="P19" s="64" t="n">
        <f aca="false">$K19*05_Params!$B$4*POWER(1+$N19,05_Params!$B$13/12)*MIN($L19,05_Params!$B$13*30.44)*(1+$M19)</f>
        <v>11.34</v>
      </c>
      <c r="Q19" s="64" t="n">
        <f aca="false">$K19*05_Params!$B$4*POWER(1+$N19,05_Params!$B$14/12)*MIN($L19,05_Params!$B$14*30.44)*(1+$M19)</f>
        <v>13.608</v>
      </c>
      <c r="R19" s="64" t="n">
        <f aca="false">$K19*05_Params!$B$4*POWER(1+$N19,05_Params!$B$15/12)*MIN($L19,05_Params!$B$15*30.44)*(1+$M19)</f>
        <v>16.3296</v>
      </c>
      <c r="S19" s="64" t="n">
        <f aca="false">$K19*05_Params!$B$4*POWER(1+$N19,05_Params!$B$16/12)*MIN($L19,05_Params!$B$16*30.44)*(1+$M19)</f>
        <v>23.514624</v>
      </c>
      <c r="T19" s="55" t="n">
        <v>0</v>
      </c>
      <c r="U19" s="55" t="n">
        <v>0</v>
      </c>
      <c r="V19" s="56" t="n">
        <v>1</v>
      </c>
      <c r="W19" s="55" t="n">
        <v>0</v>
      </c>
      <c r="X19" s="55" t="n">
        <v>0</v>
      </c>
      <c r="Y19" s="55" t="n">
        <v>0</v>
      </c>
      <c r="Z19" s="55" t="n">
        <v>0</v>
      </c>
      <c r="AA19" s="55" t="n">
        <v>0</v>
      </c>
      <c r="AB19" s="55" t="n">
        <v>0</v>
      </c>
      <c r="AC19" s="55" t="n">
        <v>0</v>
      </c>
    </row>
    <row r="20" customFormat="false" ht="21.75" hidden="false" customHeight="true" outlineLevel="0" collapsed="false">
      <c r="A20" s="61" t="s">
        <v>261</v>
      </c>
      <c r="B20" s="62" t="s">
        <v>262</v>
      </c>
      <c r="C20" s="61" t="n">
        <v>3</v>
      </c>
      <c r="D20" s="61" t="s">
        <v>118</v>
      </c>
      <c r="E20" s="61" t="s">
        <v>119</v>
      </c>
      <c r="F20" s="61" t="n">
        <v>2</v>
      </c>
      <c r="G20" s="61" t="n">
        <v>4</v>
      </c>
      <c r="H20" s="61" t="n">
        <v>0.5</v>
      </c>
      <c r="I20" s="61" t="n">
        <v>1</v>
      </c>
      <c r="J20" s="61" t="n">
        <v>100</v>
      </c>
      <c r="K20" s="61" t="n">
        <v>2</v>
      </c>
      <c r="L20" s="61" t="n">
        <v>21</v>
      </c>
      <c r="M20" s="61" t="n">
        <v>0.1</v>
      </c>
      <c r="N20" s="61" t="n">
        <v>0.2</v>
      </c>
      <c r="O20" s="63" t="n">
        <f aca="false">INDEX(02_Freq_Weight!$E$3:$E$9,MATCH(E20,02_Freq_Weight!$A$3:$A$9,0))</f>
        <v>0.86</v>
      </c>
      <c r="P20" s="64" t="n">
        <f aca="false">$K20*05_Params!$B$4*POWER(1+$N20,05_Params!$B$13/12)*MIN($L20,05_Params!$B$13*30.44)*(1+$M20)</f>
        <v>55.44</v>
      </c>
      <c r="Q20" s="64" t="n">
        <f aca="false">$K20*05_Params!$B$4*POWER(1+$N20,05_Params!$B$14/12)*MIN($L20,05_Params!$B$14*30.44)*(1+$M20)</f>
        <v>66.528</v>
      </c>
      <c r="R20" s="64" t="n">
        <f aca="false">$K20*05_Params!$B$4*POWER(1+$N20,05_Params!$B$15/12)*MIN($L20,05_Params!$B$15*30.44)*(1+$M20)</f>
        <v>79.8336</v>
      </c>
      <c r="S20" s="64" t="n">
        <f aca="false">$K20*05_Params!$B$4*POWER(1+$N20,05_Params!$B$16/12)*MIN($L20,05_Params!$B$16*30.44)*(1+$M20)</f>
        <v>114.960384</v>
      </c>
      <c r="T20" s="55" t="n">
        <v>0</v>
      </c>
      <c r="U20" s="55" t="n">
        <v>0</v>
      </c>
      <c r="V20" s="56" t="n">
        <v>1</v>
      </c>
      <c r="W20" s="55" t="n">
        <v>0</v>
      </c>
      <c r="X20" s="55" t="n">
        <v>0</v>
      </c>
      <c r="Y20" s="55" t="n">
        <v>0</v>
      </c>
      <c r="Z20" s="55" t="n">
        <v>0</v>
      </c>
      <c r="AA20" s="55" t="n">
        <v>0</v>
      </c>
      <c r="AB20" s="55" t="n">
        <v>0</v>
      </c>
      <c r="AC20" s="55" t="n">
        <v>0</v>
      </c>
    </row>
    <row r="21" customFormat="false" ht="21.75" hidden="false" customHeight="true" outlineLevel="0" collapsed="false">
      <c r="A21" s="61" t="s">
        <v>269</v>
      </c>
      <c r="B21" s="62" t="s">
        <v>270</v>
      </c>
      <c r="C21" s="61" t="n">
        <v>3</v>
      </c>
      <c r="D21" s="61" t="s">
        <v>118</v>
      </c>
      <c r="E21" s="61" t="s">
        <v>229</v>
      </c>
      <c r="F21" s="61" t="n">
        <v>1</v>
      </c>
      <c r="G21" s="61" t="n">
        <v>2</v>
      </c>
      <c r="H21" s="61" t="n">
        <v>0</v>
      </c>
      <c r="I21" s="61" t="n">
        <v>0</v>
      </c>
      <c r="J21" s="61" t="n">
        <v>5</v>
      </c>
      <c r="K21" s="61" t="n">
        <v>0.01</v>
      </c>
      <c r="L21" s="61" t="n">
        <v>365</v>
      </c>
      <c r="M21" s="61" t="n">
        <v>0.05</v>
      </c>
      <c r="N21" s="61" t="n">
        <v>0.1</v>
      </c>
      <c r="O21" s="63" t="n">
        <f aca="false">INDEX(02_Freq_Weight!$E$3:$E$9,MATCH(E21,02_Freq_Weight!$A$3:$A$9,0))</f>
        <v>0.7925</v>
      </c>
      <c r="P21" s="64" t="n">
        <f aca="false">$K21*05_Params!$B$4*POWER(1+$N21,05_Params!$B$13/12)*MIN($L21,05_Params!$B$13*30.44)*(1+$M21)</f>
        <v>4.21575</v>
      </c>
      <c r="Q21" s="64" t="n">
        <f aca="false">$K21*05_Params!$B$4*POWER(1+$N21,05_Params!$B$14/12)*MIN($L21,05_Params!$B$14*30.44)*(1+$M21)</f>
        <v>4.637325</v>
      </c>
      <c r="R21" s="64" t="n">
        <f aca="false">$K21*05_Params!$B$4*POWER(1+$N21,05_Params!$B$15/12)*MIN($L21,05_Params!$B$15*30.44)*(1+$M21)</f>
        <v>5.1010575</v>
      </c>
      <c r="S21" s="64" t="n">
        <f aca="false">$K21*05_Params!$B$4*POWER(1+$N21,05_Params!$B$16/12)*MIN($L21,05_Params!$B$16*30.44)*(1+$M21)</f>
        <v>6.172279575</v>
      </c>
      <c r="T21" s="55" t="n">
        <v>0</v>
      </c>
      <c r="U21" s="55" t="n">
        <v>0</v>
      </c>
      <c r="V21" s="56" t="n">
        <v>1</v>
      </c>
      <c r="W21" s="55" t="n">
        <v>0</v>
      </c>
      <c r="X21" s="55" t="n">
        <v>0</v>
      </c>
      <c r="Y21" s="55" t="n">
        <v>0</v>
      </c>
      <c r="Z21" s="55" t="n">
        <v>0</v>
      </c>
      <c r="AA21" s="55" t="n">
        <v>0</v>
      </c>
      <c r="AB21" s="55" t="n">
        <v>0</v>
      </c>
      <c r="AC21" s="55" t="n">
        <v>0</v>
      </c>
    </row>
    <row r="22" customFormat="false" ht="21.75" hidden="false" customHeight="true" outlineLevel="0" collapsed="false">
      <c r="A22" s="61" t="s">
        <v>277</v>
      </c>
      <c r="B22" s="62" t="s">
        <v>278</v>
      </c>
      <c r="C22" s="61" t="n">
        <v>3</v>
      </c>
      <c r="D22" s="61" t="s">
        <v>118</v>
      </c>
      <c r="E22" s="61" t="s">
        <v>229</v>
      </c>
      <c r="F22" s="61" t="n">
        <v>1</v>
      </c>
      <c r="G22" s="61" t="n">
        <v>2</v>
      </c>
      <c r="H22" s="61" t="n">
        <v>0</v>
      </c>
      <c r="I22" s="61" t="n">
        <v>0</v>
      </c>
      <c r="J22" s="61" t="n">
        <v>5</v>
      </c>
      <c r="K22" s="61" t="n">
        <v>0.01</v>
      </c>
      <c r="L22" s="61" t="n">
        <v>2555</v>
      </c>
      <c r="M22" s="61" t="n">
        <v>0.05</v>
      </c>
      <c r="N22" s="61" t="n">
        <v>0.1</v>
      </c>
      <c r="O22" s="63" t="n">
        <f aca="false">INDEX(02_Freq_Weight!$E$3:$E$9,MATCH(E22,02_Freq_Weight!$A$3:$A$9,0))</f>
        <v>0.7925</v>
      </c>
      <c r="P22" s="64" t="n">
        <f aca="false">$K22*05_Params!$B$4*POWER(1+$N22,05_Params!$B$13/12)*MIN($L22,05_Params!$B$13*30.44)*(1+$M22)</f>
        <v>4.218984</v>
      </c>
      <c r="Q22" s="64" t="n">
        <f aca="false">$K22*05_Params!$B$4*POWER(1+$N22,05_Params!$B$14/12)*MIN($L22,05_Params!$B$14*30.44)*(1+$M22)</f>
        <v>9.2817648</v>
      </c>
      <c r="R22" s="64" t="n">
        <f aca="false">$K22*05_Params!$B$4*POWER(1+$N22,05_Params!$B$15/12)*MIN($L22,05_Params!$B$15*30.44)*(1+$M22)</f>
        <v>15.31491192</v>
      </c>
      <c r="S22" s="64" t="n">
        <f aca="false">$K22*05_Params!$B$4*POWER(1+$N22,05_Params!$B$16/12)*MIN($L22,05_Params!$B$16*30.44)*(1+$M22)</f>
        <v>30.885072372</v>
      </c>
      <c r="T22" s="55" t="n">
        <v>0</v>
      </c>
      <c r="U22" s="55" t="n">
        <v>0</v>
      </c>
      <c r="V22" s="56" t="n">
        <v>1</v>
      </c>
      <c r="W22" s="55" t="n">
        <v>0</v>
      </c>
      <c r="X22" s="55" t="n">
        <v>0</v>
      </c>
      <c r="Y22" s="55" t="n">
        <v>0</v>
      </c>
      <c r="Z22" s="55" t="n">
        <v>0</v>
      </c>
      <c r="AA22" s="55" t="n">
        <v>0</v>
      </c>
      <c r="AB22" s="55" t="n">
        <v>0</v>
      </c>
      <c r="AC22" s="55" t="n">
        <v>0</v>
      </c>
    </row>
    <row r="23" customFormat="false" ht="21.75" hidden="false" customHeight="true" outlineLevel="0" collapsed="false">
      <c r="A23" s="61" t="s">
        <v>285</v>
      </c>
      <c r="B23" s="62" t="s">
        <v>286</v>
      </c>
      <c r="C23" s="61" t="n">
        <v>3</v>
      </c>
      <c r="D23" s="61" t="s">
        <v>118</v>
      </c>
      <c r="E23" s="61" t="s">
        <v>229</v>
      </c>
      <c r="F23" s="61" t="n">
        <v>1</v>
      </c>
      <c r="G23" s="61" t="n">
        <v>2</v>
      </c>
      <c r="H23" s="61" t="n">
        <v>0</v>
      </c>
      <c r="I23" s="61" t="n">
        <v>0</v>
      </c>
      <c r="J23" s="61" t="n">
        <v>5</v>
      </c>
      <c r="K23" s="61" t="n">
        <v>0.02</v>
      </c>
      <c r="L23" s="61" t="n">
        <v>2555</v>
      </c>
      <c r="M23" s="61" t="n">
        <v>0.05</v>
      </c>
      <c r="N23" s="61" t="n">
        <v>0.15</v>
      </c>
      <c r="O23" s="63" t="n">
        <f aca="false">INDEX(02_Freq_Weight!$E$3:$E$9,MATCH(E23,02_Freq_Weight!$A$3:$A$9,0))</f>
        <v>0.7925</v>
      </c>
      <c r="P23" s="64" t="n">
        <f aca="false">$K23*05_Params!$B$4*POWER(1+$N23,05_Params!$B$13/12)*MIN($L23,05_Params!$B$13*30.44)*(1+$M23)</f>
        <v>8.821512</v>
      </c>
      <c r="Q23" s="64" t="n">
        <f aca="false">$K23*05_Params!$B$4*POWER(1+$N23,05_Params!$B$14/12)*MIN($L23,05_Params!$B$14*30.44)*(1+$M23)</f>
        <v>20.2894776</v>
      </c>
      <c r="R23" s="64" t="n">
        <f aca="false">$K23*05_Params!$B$4*POWER(1+$N23,05_Params!$B$15/12)*MIN($L23,05_Params!$B$15*30.44)*(1+$M23)</f>
        <v>34.99934886</v>
      </c>
      <c r="S23" s="64" t="n">
        <f aca="false">$K23*05_Params!$B$4*POWER(1+$N23,05_Params!$B$16/12)*MIN($L23,05_Params!$B$16*30.44)*(1+$M23)</f>
        <v>77.14439811225</v>
      </c>
      <c r="T23" s="55" t="n">
        <v>0</v>
      </c>
      <c r="U23" s="55" t="n">
        <v>0</v>
      </c>
      <c r="V23" s="56" t="n">
        <v>1</v>
      </c>
      <c r="W23" s="55" t="n">
        <v>0</v>
      </c>
      <c r="X23" s="55" t="n">
        <v>0</v>
      </c>
      <c r="Y23" s="55" t="n">
        <v>0</v>
      </c>
      <c r="Z23" s="55" t="n">
        <v>0</v>
      </c>
      <c r="AA23" s="55" t="n">
        <v>0</v>
      </c>
      <c r="AB23" s="55" t="n">
        <v>0</v>
      </c>
      <c r="AC23" s="55" t="n">
        <v>0</v>
      </c>
    </row>
    <row r="24" customFormat="false" ht="21.75" hidden="false" customHeight="true" outlineLevel="0" collapsed="false">
      <c r="A24" s="65" t="s">
        <v>292</v>
      </c>
      <c r="B24" s="66" t="s">
        <v>293</v>
      </c>
      <c r="C24" s="65" t="n">
        <v>4</v>
      </c>
      <c r="D24" s="65" t="s">
        <v>118</v>
      </c>
      <c r="E24" s="65" t="s">
        <v>119</v>
      </c>
      <c r="F24" s="65" t="n">
        <v>2</v>
      </c>
      <c r="G24" s="65" t="n">
        <v>4</v>
      </c>
      <c r="H24" s="65" t="n">
        <v>0</v>
      </c>
      <c r="I24" s="65" t="n">
        <v>0</v>
      </c>
      <c r="J24" s="65" t="n">
        <v>20</v>
      </c>
      <c r="K24" s="65" t="n">
        <v>0.1</v>
      </c>
      <c r="L24" s="65" t="n">
        <v>90</v>
      </c>
      <c r="M24" s="65" t="n">
        <v>0.05</v>
      </c>
      <c r="N24" s="65" t="n">
        <v>0.15</v>
      </c>
      <c r="O24" s="67" t="n">
        <f aca="false">INDEX(02_Freq_Weight!$E$3:$E$9,MATCH(E24,02_Freq_Weight!$A$3:$A$9,0))</f>
        <v>0.86</v>
      </c>
      <c r="P24" s="68" t="n">
        <f aca="false">$K24*05_Params!$B$4*POWER(1+$N24,05_Params!$B$13/12)*MIN($L24,05_Params!$B$13*30.44)*(1+$M24)</f>
        <v>10.8675</v>
      </c>
      <c r="Q24" s="68" t="n">
        <f aca="false">$K24*05_Params!$B$4*POWER(1+$N24,05_Params!$B$14/12)*MIN($L24,05_Params!$B$14*30.44)*(1+$M24)</f>
        <v>12.497625</v>
      </c>
      <c r="R24" s="68" t="n">
        <f aca="false">$K24*05_Params!$B$4*POWER(1+$N24,05_Params!$B$15/12)*MIN($L24,05_Params!$B$15*30.44)*(1+$M24)</f>
        <v>14.37226875</v>
      </c>
      <c r="S24" s="68" t="n">
        <f aca="false">$K24*05_Params!$B$4*POWER(1+$N24,05_Params!$B$16/12)*MIN($L24,05_Params!$B$16*30.44)*(1+$M24)</f>
        <v>19.007325421875</v>
      </c>
      <c r="T24" s="55" t="n">
        <v>0</v>
      </c>
      <c r="U24" s="55" t="n">
        <v>0</v>
      </c>
      <c r="V24" s="56" t="n">
        <v>1</v>
      </c>
      <c r="W24" s="55" t="n">
        <v>0</v>
      </c>
      <c r="X24" s="55" t="n">
        <v>0</v>
      </c>
      <c r="Y24" s="55" t="n">
        <v>0</v>
      </c>
      <c r="Z24" s="55" t="n">
        <v>0</v>
      </c>
      <c r="AA24" s="55" t="n">
        <v>0</v>
      </c>
      <c r="AB24" s="55" t="n">
        <v>0</v>
      </c>
      <c r="AC24" s="55" t="n">
        <v>0</v>
      </c>
    </row>
    <row r="25" customFormat="false" ht="21.75" hidden="false" customHeight="true" outlineLevel="0" collapsed="false">
      <c r="A25" s="65" t="s">
        <v>299</v>
      </c>
      <c r="B25" s="66" t="s">
        <v>300</v>
      </c>
      <c r="C25" s="65" t="n">
        <v>4</v>
      </c>
      <c r="D25" s="65" t="s">
        <v>118</v>
      </c>
      <c r="E25" s="65" t="s">
        <v>229</v>
      </c>
      <c r="F25" s="65" t="n">
        <v>4</v>
      </c>
      <c r="G25" s="65" t="n">
        <v>8</v>
      </c>
      <c r="H25" s="65" t="n">
        <v>0</v>
      </c>
      <c r="I25" s="65" t="n">
        <v>0</v>
      </c>
      <c r="J25" s="65" t="n">
        <v>40</v>
      </c>
      <c r="K25" s="65" t="n">
        <v>0.15</v>
      </c>
      <c r="L25" s="65" t="n">
        <v>90</v>
      </c>
      <c r="M25" s="65" t="n">
        <v>0.05</v>
      </c>
      <c r="N25" s="65" t="n">
        <v>0.15</v>
      </c>
      <c r="O25" s="67" t="n">
        <f aca="false">INDEX(02_Freq_Weight!$E$3:$E$9,MATCH(E25,02_Freq_Weight!$A$3:$A$9,0))</f>
        <v>0.7925</v>
      </c>
      <c r="P25" s="68" t="n">
        <f aca="false">$K25*05_Params!$B$4*POWER(1+$N25,05_Params!$B$13/12)*MIN($L25,05_Params!$B$13*30.44)*(1+$M25)</f>
        <v>16.30125</v>
      </c>
      <c r="Q25" s="68" t="n">
        <f aca="false">$K25*05_Params!$B$4*POWER(1+$N25,05_Params!$B$14/12)*MIN($L25,05_Params!$B$14*30.44)*(1+$M25)</f>
        <v>18.7464375</v>
      </c>
      <c r="R25" s="68" t="n">
        <f aca="false">$K25*05_Params!$B$4*POWER(1+$N25,05_Params!$B$15/12)*MIN($L25,05_Params!$B$15*30.44)*(1+$M25)</f>
        <v>21.558403125</v>
      </c>
      <c r="S25" s="68" t="n">
        <f aca="false">$K25*05_Params!$B$4*POWER(1+$N25,05_Params!$B$16/12)*MIN($L25,05_Params!$B$16*30.44)*(1+$M25)</f>
        <v>28.5109881328125</v>
      </c>
      <c r="T25" s="55" t="n">
        <v>0</v>
      </c>
      <c r="U25" s="55" t="n">
        <v>0</v>
      </c>
      <c r="V25" s="56" t="n">
        <v>1</v>
      </c>
      <c r="W25" s="55" t="n">
        <v>0</v>
      </c>
      <c r="X25" s="55" t="n">
        <v>0</v>
      </c>
      <c r="Y25" s="55" t="n">
        <v>0</v>
      </c>
      <c r="Z25" s="55" t="n">
        <v>0</v>
      </c>
      <c r="AA25" s="55" t="n">
        <v>0</v>
      </c>
      <c r="AB25" s="55" t="n">
        <v>0</v>
      </c>
      <c r="AC25" s="55" t="n">
        <v>0</v>
      </c>
    </row>
    <row r="26" customFormat="false" ht="21.75" hidden="false" customHeight="true" outlineLevel="0" collapsed="false">
      <c r="A26" s="65" t="s">
        <v>308</v>
      </c>
      <c r="B26" s="66" t="s">
        <v>309</v>
      </c>
      <c r="C26" s="65" t="n">
        <v>4</v>
      </c>
      <c r="D26" s="65" t="s">
        <v>217</v>
      </c>
      <c r="E26" s="65" t="s">
        <v>218</v>
      </c>
      <c r="F26" s="65" t="n">
        <v>2</v>
      </c>
      <c r="G26" s="65" t="n">
        <v>4</v>
      </c>
      <c r="H26" s="65" t="n">
        <v>0</v>
      </c>
      <c r="I26" s="65" t="n">
        <v>0</v>
      </c>
      <c r="J26" s="65" t="n">
        <v>20</v>
      </c>
      <c r="K26" s="65" t="n">
        <v>0.15</v>
      </c>
      <c r="L26" s="65" t="n">
        <v>730</v>
      </c>
      <c r="M26" s="65" t="n">
        <v>0.1</v>
      </c>
      <c r="N26" s="65" t="n">
        <v>0.15</v>
      </c>
      <c r="O26" s="67" t="n">
        <f aca="false">INDEX(02_Freq_Weight!$E$3:$E$9,MATCH(E26,02_Freq_Weight!$A$3:$A$9,0))</f>
        <v>0.6575</v>
      </c>
      <c r="P26" s="68" t="n">
        <f aca="false">$K26*05_Params!$B$4*POWER(1+$N26,05_Params!$B$13/12)*MIN($L26,05_Params!$B$13*30.44)*(1+$M26)</f>
        <v>69.31188</v>
      </c>
      <c r="Q26" s="68" t="n">
        <f aca="false">$K26*05_Params!$B$4*POWER(1+$N26,05_Params!$B$14/12)*MIN($L26,05_Params!$B$14*30.44)*(1+$M26)</f>
        <v>159.295125</v>
      </c>
      <c r="R26" s="68" t="n">
        <f aca="false">$K26*05_Params!$B$4*POWER(1+$N26,05_Params!$B$15/12)*MIN($L26,05_Params!$B$15*30.44)*(1+$M26)</f>
        <v>183.18939375</v>
      </c>
      <c r="S26" s="68" t="n">
        <f aca="false">$K26*05_Params!$B$4*POWER(1+$N26,05_Params!$B$16/12)*MIN($L26,05_Params!$B$16*30.44)*(1+$M26)</f>
        <v>242.267973234375</v>
      </c>
      <c r="T26" s="55" t="n">
        <v>0</v>
      </c>
      <c r="U26" s="55" t="n">
        <v>0</v>
      </c>
      <c r="V26" s="55" t="n">
        <v>0</v>
      </c>
      <c r="W26" s="56" t="n">
        <v>1</v>
      </c>
      <c r="X26" s="55" t="n">
        <v>0</v>
      </c>
      <c r="Y26" s="55" t="n">
        <v>0</v>
      </c>
      <c r="Z26" s="55" t="n">
        <v>0</v>
      </c>
      <c r="AA26" s="55" t="n">
        <v>0</v>
      </c>
      <c r="AB26" s="55" t="n">
        <v>0</v>
      </c>
      <c r="AC26" s="55" t="n">
        <v>0</v>
      </c>
    </row>
    <row r="27" customFormat="false" ht="21.75" hidden="false" customHeight="true" outlineLevel="0" collapsed="false">
      <c r="A27" s="65" t="s">
        <v>317</v>
      </c>
      <c r="B27" s="66" t="s">
        <v>318</v>
      </c>
      <c r="C27" s="65" t="n">
        <v>4</v>
      </c>
      <c r="D27" s="65" t="s">
        <v>217</v>
      </c>
      <c r="E27" s="65" t="s">
        <v>218</v>
      </c>
      <c r="F27" s="65" t="n">
        <v>2</v>
      </c>
      <c r="G27" s="65" t="n">
        <v>2</v>
      </c>
      <c r="H27" s="65" t="n">
        <v>0</v>
      </c>
      <c r="I27" s="65" t="n">
        <v>0</v>
      </c>
      <c r="J27" s="65" t="n">
        <v>10</v>
      </c>
      <c r="K27" s="65" t="n">
        <v>0.05</v>
      </c>
      <c r="L27" s="65" t="n">
        <v>365</v>
      </c>
      <c r="M27" s="65" t="n">
        <v>0.05</v>
      </c>
      <c r="N27" s="65" t="n">
        <v>0.15</v>
      </c>
      <c r="O27" s="67" t="n">
        <f aca="false">INDEX(02_Freq_Weight!$E$3:$E$9,MATCH(E27,02_Freq_Weight!$A$3:$A$9,0))</f>
        <v>0.6575</v>
      </c>
      <c r="P27" s="68" t="n">
        <f aca="false">$K27*05_Params!$B$4*POWER(1+$N27,05_Params!$B$13/12)*MIN($L27,05_Params!$B$13*30.44)*(1+$M27)</f>
        <v>22.036875</v>
      </c>
      <c r="Q27" s="68" t="n">
        <f aca="false">$K27*05_Params!$B$4*POWER(1+$N27,05_Params!$B$14/12)*MIN($L27,05_Params!$B$14*30.44)*(1+$M27)</f>
        <v>25.34240625</v>
      </c>
      <c r="R27" s="68" t="n">
        <f aca="false">$K27*05_Params!$B$4*POWER(1+$N27,05_Params!$B$15/12)*MIN($L27,05_Params!$B$15*30.44)*(1+$M27)</f>
        <v>29.1437671875</v>
      </c>
      <c r="S27" s="68" t="n">
        <f aca="false">$K27*05_Params!$B$4*POWER(1+$N27,05_Params!$B$16/12)*MIN($L27,05_Params!$B$16*30.44)*(1+$M27)</f>
        <v>38.5426321054687</v>
      </c>
      <c r="T27" s="55" t="n">
        <v>0</v>
      </c>
      <c r="U27" s="55" t="n">
        <v>0</v>
      </c>
      <c r="V27" s="55" t="n">
        <v>0</v>
      </c>
      <c r="W27" s="56" t="n">
        <v>1</v>
      </c>
      <c r="X27" s="55" t="n">
        <v>0</v>
      </c>
      <c r="Y27" s="55" t="n">
        <v>0</v>
      </c>
      <c r="Z27" s="55" t="n">
        <v>0</v>
      </c>
      <c r="AA27" s="55" t="n">
        <v>0</v>
      </c>
      <c r="AB27" s="55" t="n">
        <v>0</v>
      </c>
      <c r="AC27" s="55" t="n">
        <v>0</v>
      </c>
    </row>
    <row r="28" customFormat="false" ht="21.75" hidden="false" customHeight="true" outlineLevel="0" collapsed="false">
      <c r="A28" s="65" t="s">
        <v>325</v>
      </c>
      <c r="B28" s="66" t="s">
        <v>326</v>
      </c>
      <c r="C28" s="65" t="n">
        <v>4</v>
      </c>
      <c r="D28" s="65" t="s">
        <v>328</v>
      </c>
      <c r="E28" s="65" t="s">
        <v>240</v>
      </c>
      <c r="F28" s="65" t="n">
        <v>4</v>
      </c>
      <c r="G28" s="65" t="n">
        <v>8</v>
      </c>
      <c r="H28" s="65" t="n">
        <v>0</v>
      </c>
      <c r="I28" s="65" t="n">
        <v>0</v>
      </c>
      <c r="J28" s="65" t="n">
        <v>20</v>
      </c>
      <c r="K28" s="65" t="n">
        <v>0.05</v>
      </c>
      <c r="L28" s="65" t="n">
        <v>365</v>
      </c>
      <c r="M28" s="65" t="n">
        <v>0.1</v>
      </c>
      <c r="N28" s="65" t="n">
        <v>0.15</v>
      </c>
      <c r="O28" s="67" t="n">
        <f aca="false">INDEX(02_Freq_Weight!$E$3:$E$9,MATCH(E28,02_Freq_Weight!$A$3:$A$9,0))</f>
        <v>0.5675</v>
      </c>
      <c r="P28" s="68" t="n">
        <f aca="false">$K28*05_Params!$B$4*POWER(1+$N28,05_Params!$B$13/12)*MIN($L28,05_Params!$B$13*30.44)*(1+$M28)</f>
        <v>23.08625</v>
      </c>
      <c r="Q28" s="68" t="n">
        <f aca="false">$K28*05_Params!$B$4*POWER(1+$N28,05_Params!$B$14/12)*MIN($L28,05_Params!$B$14*30.44)*(1+$M28)</f>
        <v>26.5491875</v>
      </c>
      <c r="R28" s="68" t="n">
        <f aca="false">$K28*05_Params!$B$4*POWER(1+$N28,05_Params!$B$15/12)*MIN($L28,05_Params!$B$15*30.44)*(1+$M28)</f>
        <v>30.531565625</v>
      </c>
      <c r="S28" s="68" t="n">
        <f aca="false">$K28*05_Params!$B$4*POWER(1+$N28,05_Params!$B$16/12)*MIN($L28,05_Params!$B$16*30.44)*(1+$M28)</f>
        <v>40.3779955390625</v>
      </c>
      <c r="T28" s="55" t="n">
        <v>0</v>
      </c>
      <c r="U28" s="55" t="n">
        <v>0</v>
      </c>
      <c r="V28" s="55" t="n">
        <v>0</v>
      </c>
      <c r="W28" s="56" t="n">
        <v>1</v>
      </c>
      <c r="X28" s="55" t="n">
        <v>0</v>
      </c>
      <c r="Y28" s="55" t="n">
        <v>0</v>
      </c>
      <c r="Z28" s="55" t="n">
        <v>0</v>
      </c>
      <c r="AA28" s="55" t="n">
        <v>0</v>
      </c>
      <c r="AB28" s="55" t="n">
        <v>0</v>
      </c>
      <c r="AC28" s="55" t="n">
        <v>0</v>
      </c>
    </row>
    <row r="29" customFormat="false" ht="21.75" hidden="false" customHeight="true" outlineLevel="0" collapsed="false">
      <c r="A29" s="65" t="s">
        <v>335</v>
      </c>
      <c r="B29" s="66" t="s">
        <v>336</v>
      </c>
      <c r="C29" s="65" t="n">
        <v>4</v>
      </c>
      <c r="D29" s="65" t="s">
        <v>217</v>
      </c>
      <c r="E29" s="65" t="s">
        <v>218</v>
      </c>
      <c r="F29" s="65" t="n">
        <v>2</v>
      </c>
      <c r="G29" s="65" t="n">
        <v>4</v>
      </c>
      <c r="H29" s="65" t="n">
        <v>0</v>
      </c>
      <c r="I29" s="65" t="n">
        <v>0</v>
      </c>
      <c r="J29" s="65" t="n">
        <v>15</v>
      </c>
      <c r="K29" s="65" t="n">
        <v>0.05</v>
      </c>
      <c r="L29" s="65" t="n">
        <v>365</v>
      </c>
      <c r="M29" s="65" t="n">
        <v>0.05</v>
      </c>
      <c r="N29" s="65" t="n">
        <v>0.1</v>
      </c>
      <c r="O29" s="67" t="n">
        <f aca="false">INDEX(02_Freq_Weight!$E$3:$E$9,MATCH(E29,02_Freq_Weight!$A$3:$A$9,0))</f>
        <v>0.6575</v>
      </c>
      <c r="P29" s="68" t="n">
        <f aca="false">$K29*05_Params!$B$4*POWER(1+$N29,05_Params!$B$13/12)*MIN($L29,05_Params!$B$13*30.44)*(1+$M29)</f>
        <v>21.07875</v>
      </c>
      <c r="Q29" s="68" t="n">
        <f aca="false">$K29*05_Params!$B$4*POWER(1+$N29,05_Params!$B$14/12)*MIN($L29,05_Params!$B$14*30.44)*(1+$M29)</f>
        <v>23.186625</v>
      </c>
      <c r="R29" s="68" t="n">
        <f aca="false">$K29*05_Params!$B$4*POWER(1+$N29,05_Params!$B$15/12)*MIN($L29,05_Params!$B$15*30.44)*(1+$M29)</f>
        <v>25.5052875</v>
      </c>
      <c r="S29" s="68" t="n">
        <f aca="false">$K29*05_Params!$B$4*POWER(1+$N29,05_Params!$B$16/12)*MIN($L29,05_Params!$B$16*30.44)*(1+$M29)</f>
        <v>30.861397875</v>
      </c>
      <c r="T29" s="55" t="n">
        <v>0</v>
      </c>
      <c r="U29" s="55" t="n">
        <v>0</v>
      </c>
      <c r="V29" s="55" t="n">
        <v>0</v>
      </c>
      <c r="W29" s="56" t="n">
        <v>1</v>
      </c>
      <c r="X29" s="55" t="n">
        <v>0</v>
      </c>
      <c r="Y29" s="55" t="n">
        <v>0</v>
      </c>
      <c r="Z29" s="55" t="n">
        <v>0</v>
      </c>
      <c r="AA29" s="55" t="n">
        <v>0</v>
      </c>
      <c r="AB29" s="55" t="n">
        <v>0</v>
      </c>
      <c r="AC29" s="55" t="n">
        <v>0</v>
      </c>
    </row>
    <row r="30" customFormat="false" ht="21.75" hidden="false" customHeight="true" outlineLevel="0" collapsed="false">
      <c r="A30" s="65" t="s">
        <v>344</v>
      </c>
      <c r="B30" s="66" t="s">
        <v>345</v>
      </c>
      <c r="C30" s="65" t="n">
        <v>4</v>
      </c>
      <c r="D30" s="65" t="s">
        <v>217</v>
      </c>
      <c r="E30" s="65" t="s">
        <v>240</v>
      </c>
      <c r="F30" s="65" t="n">
        <v>1</v>
      </c>
      <c r="G30" s="65" t="n">
        <v>2</v>
      </c>
      <c r="H30" s="65" t="n">
        <v>0</v>
      </c>
      <c r="I30" s="65" t="n">
        <v>0</v>
      </c>
      <c r="J30" s="65" t="n">
        <v>5</v>
      </c>
      <c r="K30" s="65" t="n">
        <v>0.01</v>
      </c>
      <c r="L30" s="65" t="n">
        <v>365</v>
      </c>
      <c r="M30" s="65" t="n">
        <v>0.05</v>
      </c>
      <c r="N30" s="65" t="n">
        <v>0.1</v>
      </c>
      <c r="O30" s="67" t="n">
        <f aca="false">INDEX(02_Freq_Weight!$E$3:$E$9,MATCH(E30,02_Freq_Weight!$A$3:$A$9,0))</f>
        <v>0.5675</v>
      </c>
      <c r="P30" s="68" t="n">
        <f aca="false">$K30*05_Params!$B$4*POWER(1+$N30,05_Params!$B$13/12)*MIN($L30,05_Params!$B$13*30.44)*(1+$M30)</f>
        <v>4.21575</v>
      </c>
      <c r="Q30" s="68" t="n">
        <f aca="false">$K30*05_Params!$B$4*POWER(1+$N30,05_Params!$B$14/12)*MIN($L30,05_Params!$B$14*30.44)*(1+$M30)</f>
        <v>4.637325</v>
      </c>
      <c r="R30" s="68" t="n">
        <f aca="false">$K30*05_Params!$B$4*POWER(1+$N30,05_Params!$B$15/12)*MIN($L30,05_Params!$B$15*30.44)*(1+$M30)</f>
        <v>5.1010575</v>
      </c>
      <c r="S30" s="68" t="n">
        <f aca="false">$K30*05_Params!$B$4*POWER(1+$N30,05_Params!$B$16/12)*MIN($L30,05_Params!$B$16*30.44)*(1+$M30)</f>
        <v>6.172279575</v>
      </c>
      <c r="T30" s="55" t="n">
        <v>0</v>
      </c>
      <c r="U30" s="55" t="n">
        <v>0</v>
      </c>
      <c r="V30" s="55" t="n">
        <v>0</v>
      </c>
      <c r="W30" s="56" t="n">
        <v>1</v>
      </c>
      <c r="X30" s="55" t="n">
        <v>0</v>
      </c>
      <c r="Y30" s="55" t="n">
        <v>0</v>
      </c>
      <c r="Z30" s="55" t="n">
        <v>0</v>
      </c>
      <c r="AA30" s="55" t="n">
        <v>0</v>
      </c>
      <c r="AB30" s="55" t="n">
        <v>0</v>
      </c>
      <c r="AC30" s="55" t="n">
        <v>0</v>
      </c>
    </row>
    <row r="31" customFormat="false" ht="21.75" hidden="false" customHeight="true" outlineLevel="0" collapsed="false">
      <c r="A31" s="69" t="s">
        <v>353</v>
      </c>
      <c r="B31" s="70" t="s">
        <v>354</v>
      </c>
      <c r="C31" s="69" t="n">
        <v>5</v>
      </c>
      <c r="D31" s="69" t="s">
        <v>99</v>
      </c>
      <c r="E31" s="69" t="s">
        <v>99</v>
      </c>
      <c r="F31" s="69" t="n">
        <v>2</v>
      </c>
      <c r="G31" s="69" t="n">
        <v>4</v>
      </c>
      <c r="H31" s="69" t="n">
        <v>3</v>
      </c>
      <c r="I31" s="69" t="n">
        <v>1</v>
      </c>
      <c r="J31" s="69" t="n">
        <v>60</v>
      </c>
      <c r="K31" s="69" t="n">
        <v>1</v>
      </c>
      <c r="L31" s="69" t="n">
        <v>180</v>
      </c>
      <c r="M31" s="69" t="n">
        <v>0.2</v>
      </c>
      <c r="N31" s="69" t="n">
        <v>0.25</v>
      </c>
      <c r="O31" s="71" t="n">
        <f aca="false">INDEX(02_Freq_Weight!$E$3:$E$9,MATCH(E31,02_Freq_Weight!$A$3:$A$9,0))</f>
        <v>0.95</v>
      </c>
      <c r="P31" s="72" t="n">
        <f aca="false">$K31*05_Params!$B$4*POWER(1+$N31,05_Params!$B$13/12)*MIN($L31,05_Params!$B$13*30.44)*(1+$M31)</f>
        <v>270</v>
      </c>
      <c r="Q31" s="72" t="n">
        <f aca="false">$K31*05_Params!$B$4*POWER(1+$N31,05_Params!$B$14/12)*MIN($L31,05_Params!$B$14*30.44)*(1+$M31)</f>
        <v>337.5</v>
      </c>
      <c r="R31" s="72" t="n">
        <f aca="false">$K31*05_Params!$B$4*POWER(1+$N31,05_Params!$B$15/12)*MIN($L31,05_Params!$B$15*30.44)*(1+$M31)</f>
        <v>421.875</v>
      </c>
      <c r="S31" s="72" t="n">
        <f aca="false">$K31*05_Params!$B$4*POWER(1+$N31,05_Params!$B$16/12)*MIN($L31,05_Params!$B$16*30.44)*(1+$M31)</f>
        <v>659.1796875</v>
      </c>
      <c r="T31" s="55" t="n">
        <v>0</v>
      </c>
      <c r="U31" s="55" t="n">
        <v>0</v>
      </c>
      <c r="V31" s="55" t="n">
        <v>0</v>
      </c>
      <c r="W31" s="55" t="n">
        <v>0</v>
      </c>
      <c r="X31" s="56" t="n">
        <v>1</v>
      </c>
      <c r="Y31" s="55" t="n">
        <v>0</v>
      </c>
      <c r="Z31" s="55" t="n">
        <v>0</v>
      </c>
      <c r="AA31" s="55" t="n">
        <v>0</v>
      </c>
      <c r="AB31" s="55" t="n">
        <v>0</v>
      </c>
      <c r="AC31" s="55" t="n">
        <v>0</v>
      </c>
    </row>
    <row r="32" customFormat="false" ht="21.75" hidden="false" customHeight="true" outlineLevel="0" collapsed="false">
      <c r="A32" s="69" t="s">
        <v>362</v>
      </c>
      <c r="B32" s="70" t="s">
        <v>363</v>
      </c>
      <c r="C32" s="69" t="n">
        <v>5</v>
      </c>
      <c r="D32" s="69" t="s">
        <v>99</v>
      </c>
      <c r="E32" s="69" t="s">
        <v>99</v>
      </c>
      <c r="F32" s="69" t="n">
        <v>2</v>
      </c>
      <c r="G32" s="69" t="n">
        <v>4</v>
      </c>
      <c r="H32" s="69" t="n">
        <v>1.5</v>
      </c>
      <c r="I32" s="69" t="n">
        <v>1</v>
      </c>
      <c r="J32" s="69" t="n">
        <v>20</v>
      </c>
      <c r="K32" s="69" t="n">
        <v>1</v>
      </c>
      <c r="L32" s="69" t="n">
        <v>180</v>
      </c>
      <c r="M32" s="69" t="n">
        <v>0.15</v>
      </c>
      <c r="N32" s="69" t="n">
        <v>0.25</v>
      </c>
      <c r="O32" s="71" t="n">
        <f aca="false">INDEX(02_Freq_Weight!$E$3:$E$9,MATCH(E32,02_Freq_Weight!$A$3:$A$9,0))</f>
        <v>0.95</v>
      </c>
      <c r="P32" s="72" t="n">
        <f aca="false">$K32*05_Params!$B$4*POWER(1+$N32,05_Params!$B$13/12)*MIN($L32,05_Params!$B$13*30.44)*(1+$M32)</f>
        <v>258.75</v>
      </c>
      <c r="Q32" s="72" t="n">
        <f aca="false">$K32*05_Params!$B$4*POWER(1+$N32,05_Params!$B$14/12)*MIN($L32,05_Params!$B$14*30.44)*(1+$M32)</f>
        <v>323.4375</v>
      </c>
      <c r="R32" s="72" t="n">
        <f aca="false">$K32*05_Params!$B$4*POWER(1+$N32,05_Params!$B$15/12)*MIN($L32,05_Params!$B$15*30.44)*(1+$M32)</f>
        <v>404.296875</v>
      </c>
      <c r="S32" s="72" t="n">
        <f aca="false">$K32*05_Params!$B$4*POWER(1+$N32,05_Params!$B$16/12)*MIN($L32,05_Params!$B$16*30.44)*(1+$M32)</f>
        <v>631.7138671875</v>
      </c>
      <c r="T32" s="55" t="n">
        <v>0</v>
      </c>
      <c r="U32" s="55" t="n">
        <v>0</v>
      </c>
      <c r="V32" s="55" t="n">
        <v>0</v>
      </c>
      <c r="W32" s="55" t="n">
        <v>0</v>
      </c>
      <c r="X32" s="56" t="n">
        <v>1</v>
      </c>
      <c r="Y32" s="55" t="n">
        <v>0</v>
      </c>
      <c r="Z32" s="55" t="n">
        <v>0</v>
      </c>
      <c r="AA32" s="55" t="n">
        <v>0</v>
      </c>
      <c r="AB32" s="55" t="n">
        <v>0</v>
      </c>
      <c r="AC32" s="55" t="n">
        <v>0</v>
      </c>
    </row>
    <row r="33" customFormat="false" ht="21.75" hidden="false" customHeight="true" outlineLevel="0" collapsed="false">
      <c r="A33" s="69" t="s">
        <v>373</v>
      </c>
      <c r="B33" s="70" t="s">
        <v>374</v>
      </c>
      <c r="C33" s="69" t="n">
        <v>5</v>
      </c>
      <c r="D33" s="69" t="s">
        <v>99</v>
      </c>
      <c r="E33" s="69" t="s">
        <v>99</v>
      </c>
      <c r="F33" s="69" t="n">
        <v>2</v>
      </c>
      <c r="G33" s="69" t="n">
        <v>4</v>
      </c>
      <c r="H33" s="69" t="n">
        <v>3.5</v>
      </c>
      <c r="I33" s="69" t="n">
        <v>1</v>
      </c>
      <c r="J33" s="69" t="n">
        <v>40</v>
      </c>
      <c r="K33" s="69" t="n">
        <v>1.5</v>
      </c>
      <c r="L33" s="69" t="n">
        <v>90</v>
      </c>
      <c r="M33" s="69" t="n">
        <v>0.45</v>
      </c>
      <c r="N33" s="69" t="n">
        <v>0.3</v>
      </c>
      <c r="O33" s="71" t="n">
        <f aca="false">INDEX(02_Freq_Weight!$E$3:$E$9,MATCH(E33,02_Freq_Weight!$A$3:$A$9,0))</f>
        <v>0.95</v>
      </c>
      <c r="P33" s="72" t="n">
        <f aca="false">$K33*05_Params!$B$4*POWER(1+$N33,05_Params!$B$13/12)*MIN($L33,05_Params!$B$13*30.44)*(1+$M33)</f>
        <v>254.475</v>
      </c>
      <c r="Q33" s="72" t="n">
        <f aca="false">$K33*05_Params!$B$4*POWER(1+$N33,05_Params!$B$14/12)*MIN($L33,05_Params!$B$14*30.44)*(1+$M33)</f>
        <v>330.8175</v>
      </c>
      <c r="R33" s="72" t="n">
        <f aca="false">$K33*05_Params!$B$4*POWER(1+$N33,05_Params!$B$15/12)*MIN($L33,05_Params!$B$15*30.44)*(1+$M33)</f>
        <v>430.06275</v>
      </c>
      <c r="S33" s="72" t="n">
        <f aca="false">$K33*05_Params!$B$4*POWER(1+$N33,05_Params!$B$16/12)*MIN($L33,05_Params!$B$16*30.44)*(1+$M33)</f>
        <v>726.8060475</v>
      </c>
      <c r="T33" s="55" t="n">
        <v>0</v>
      </c>
      <c r="U33" s="55" t="n">
        <v>0</v>
      </c>
      <c r="V33" s="55" t="n">
        <v>0</v>
      </c>
      <c r="W33" s="55" t="n">
        <v>0</v>
      </c>
      <c r="X33" s="56" t="n">
        <v>1</v>
      </c>
      <c r="Y33" s="55" t="n">
        <v>0</v>
      </c>
      <c r="Z33" s="55" t="n">
        <v>0</v>
      </c>
      <c r="AA33" s="55" t="n">
        <v>0</v>
      </c>
      <c r="AB33" s="55" t="n">
        <v>0</v>
      </c>
      <c r="AC33" s="55" t="n">
        <v>0</v>
      </c>
    </row>
    <row r="34" customFormat="false" ht="21.75" hidden="false" customHeight="true" outlineLevel="0" collapsed="false">
      <c r="A34" s="69" t="s">
        <v>384</v>
      </c>
      <c r="B34" s="70" t="s">
        <v>385</v>
      </c>
      <c r="C34" s="69" t="n">
        <v>5</v>
      </c>
      <c r="D34" s="69" t="s">
        <v>99</v>
      </c>
      <c r="E34" s="69" t="s">
        <v>99</v>
      </c>
      <c r="F34" s="69" t="n">
        <v>2</v>
      </c>
      <c r="G34" s="69" t="n">
        <v>4</v>
      </c>
      <c r="H34" s="69" t="n">
        <v>1.5</v>
      </c>
      <c r="I34" s="69" t="n">
        <v>1</v>
      </c>
      <c r="J34" s="69" t="n">
        <v>15</v>
      </c>
      <c r="K34" s="69" t="n">
        <v>0.1</v>
      </c>
      <c r="L34" s="69" t="n">
        <v>30</v>
      </c>
      <c r="M34" s="69" t="n">
        <v>0.05</v>
      </c>
      <c r="N34" s="69" t="n">
        <v>0.2</v>
      </c>
      <c r="O34" s="71" t="n">
        <f aca="false">INDEX(02_Freq_Weight!$E$3:$E$9,MATCH(E34,02_Freq_Weight!$A$3:$A$9,0))</f>
        <v>0.95</v>
      </c>
      <c r="P34" s="72" t="n">
        <f aca="false">$K34*05_Params!$B$4*POWER(1+$N34,05_Params!$B$13/12)*MIN($L34,05_Params!$B$13*30.44)*(1+$M34)</f>
        <v>3.78</v>
      </c>
      <c r="Q34" s="72" t="n">
        <f aca="false">$K34*05_Params!$B$4*POWER(1+$N34,05_Params!$B$14/12)*MIN($L34,05_Params!$B$14*30.44)*(1+$M34)</f>
        <v>4.536</v>
      </c>
      <c r="R34" s="72" t="n">
        <f aca="false">$K34*05_Params!$B$4*POWER(1+$N34,05_Params!$B$15/12)*MIN($L34,05_Params!$B$15*30.44)*(1+$M34)</f>
        <v>5.4432</v>
      </c>
      <c r="S34" s="72" t="n">
        <f aca="false">$K34*05_Params!$B$4*POWER(1+$N34,05_Params!$B$16/12)*MIN($L34,05_Params!$B$16*30.44)*(1+$M34)</f>
        <v>7.838208</v>
      </c>
      <c r="T34" s="55" t="n">
        <v>0</v>
      </c>
      <c r="U34" s="55" t="n">
        <v>0</v>
      </c>
      <c r="V34" s="55" t="n">
        <v>0</v>
      </c>
      <c r="W34" s="55" t="n">
        <v>0</v>
      </c>
      <c r="X34" s="56" t="n">
        <v>1</v>
      </c>
      <c r="Y34" s="55" t="n">
        <v>0</v>
      </c>
      <c r="Z34" s="55" t="n">
        <v>0</v>
      </c>
      <c r="AA34" s="55" t="n">
        <v>0</v>
      </c>
      <c r="AB34" s="55" t="n">
        <v>0</v>
      </c>
      <c r="AC34" s="55" t="n">
        <v>0</v>
      </c>
    </row>
    <row r="35" customFormat="false" ht="21.75" hidden="false" customHeight="true" outlineLevel="0" collapsed="false">
      <c r="A35" s="69" t="s">
        <v>392</v>
      </c>
      <c r="B35" s="70" t="s">
        <v>393</v>
      </c>
      <c r="C35" s="69" t="n">
        <v>5</v>
      </c>
      <c r="D35" s="69" t="s">
        <v>99</v>
      </c>
      <c r="E35" s="69" t="s">
        <v>99</v>
      </c>
      <c r="F35" s="69" t="n">
        <v>1</v>
      </c>
      <c r="G35" s="69" t="n">
        <v>2</v>
      </c>
      <c r="H35" s="69" t="n">
        <v>1.2</v>
      </c>
      <c r="I35" s="69" t="n">
        <v>1</v>
      </c>
      <c r="J35" s="69" t="n">
        <v>10</v>
      </c>
      <c r="K35" s="69" t="n">
        <v>0.05</v>
      </c>
      <c r="L35" s="69" t="n">
        <v>90</v>
      </c>
      <c r="M35" s="69" t="n">
        <v>0.05</v>
      </c>
      <c r="N35" s="69" t="n">
        <v>0.15</v>
      </c>
      <c r="O35" s="71" t="n">
        <f aca="false">INDEX(02_Freq_Weight!$E$3:$E$9,MATCH(E35,02_Freq_Weight!$A$3:$A$9,0))</f>
        <v>0.95</v>
      </c>
      <c r="P35" s="72" t="n">
        <f aca="false">$K35*05_Params!$B$4*POWER(1+$N35,05_Params!$B$13/12)*MIN($L35,05_Params!$B$13*30.44)*(1+$M35)</f>
        <v>5.43375</v>
      </c>
      <c r="Q35" s="72" t="n">
        <f aca="false">$K35*05_Params!$B$4*POWER(1+$N35,05_Params!$B$14/12)*MIN($L35,05_Params!$B$14*30.44)*(1+$M35)</f>
        <v>6.2488125</v>
      </c>
      <c r="R35" s="72" t="n">
        <f aca="false">$K35*05_Params!$B$4*POWER(1+$N35,05_Params!$B$15/12)*MIN($L35,05_Params!$B$15*30.44)*(1+$M35)</f>
        <v>7.186134375</v>
      </c>
      <c r="S35" s="72" t="n">
        <f aca="false">$K35*05_Params!$B$4*POWER(1+$N35,05_Params!$B$16/12)*MIN($L35,05_Params!$B$16*30.44)*(1+$M35)</f>
        <v>9.5036627109375</v>
      </c>
      <c r="T35" s="55" t="n">
        <v>0</v>
      </c>
      <c r="U35" s="55" t="n">
        <v>0</v>
      </c>
      <c r="V35" s="55" t="n">
        <v>0</v>
      </c>
      <c r="W35" s="55" t="n">
        <v>0</v>
      </c>
      <c r="X35" s="56" t="n">
        <v>1</v>
      </c>
      <c r="Y35" s="55" t="n">
        <v>0</v>
      </c>
      <c r="Z35" s="55" t="n">
        <v>0</v>
      </c>
      <c r="AA35" s="55" t="n">
        <v>0</v>
      </c>
      <c r="AB35" s="55" t="n">
        <v>0</v>
      </c>
      <c r="AC35" s="55" t="n">
        <v>0</v>
      </c>
    </row>
    <row r="36" customFormat="false" ht="21.75" hidden="false" customHeight="true" outlineLevel="0" collapsed="false">
      <c r="A36" s="69" t="s">
        <v>398</v>
      </c>
      <c r="B36" s="70" t="s">
        <v>399</v>
      </c>
      <c r="C36" s="69" t="n">
        <v>5</v>
      </c>
      <c r="D36" s="69" t="s">
        <v>99</v>
      </c>
      <c r="E36" s="69" t="s">
        <v>99</v>
      </c>
      <c r="F36" s="69" t="n">
        <v>1</v>
      </c>
      <c r="G36" s="69" t="n">
        <v>1</v>
      </c>
      <c r="H36" s="69" t="n">
        <v>0.15</v>
      </c>
      <c r="I36" s="69" t="n">
        <v>1</v>
      </c>
      <c r="J36" s="69" t="n">
        <v>5</v>
      </c>
      <c r="K36" s="69" t="n">
        <v>0.02</v>
      </c>
      <c r="L36" s="69" t="n">
        <v>7</v>
      </c>
      <c r="M36" s="69" t="n">
        <v>0.05</v>
      </c>
      <c r="N36" s="69" t="n">
        <v>0.2</v>
      </c>
      <c r="O36" s="71" t="n">
        <f aca="false">INDEX(02_Freq_Weight!$E$3:$E$9,MATCH(E36,02_Freq_Weight!$A$3:$A$9,0))</f>
        <v>0.95</v>
      </c>
      <c r="P36" s="72" t="n">
        <f aca="false">$K36*05_Params!$B$4*POWER(1+$N36,05_Params!$B$13/12)*MIN($L36,05_Params!$B$13*30.44)*(1+$M36)</f>
        <v>0.1764</v>
      </c>
      <c r="Q36" s="72" t="n">
        <f aca="false">$K36*05_Params!$B$4*POWER(1+$N36,05_Params!$B$14/12)*MIN($L36,05_Params!$B$14*30.44)*(1+$M36)</f>
        <v>0.21168</v>
      </c>
      <c r="R36" s="72" t="n">
        <f aca="false">$K36*05_Params!$B$4*POWER(1+$N36,05_Params!$B$15/12)*MIN($L36,05_Params!$B$15*30.44)*(1+$M36)</f>
        <v>0.254016</v>
      </c>
      <c r="S36" s="72" t="n">
        <f aca="false">$K36*05_Params!$B$4*POWER(1+$N36,05_Params!$B$16/12)*MIN($L36,05_Params!$B$16*30.44)*(1+$M36)</f>
        <v>0.36578304</v>
      </c>
      <c r="T36" s="56" t="n">
        <v>1</v>
      </c>
      <c r="U36" s="56" t="n">
        <v>1</v>
      </c>
      <c r="V36" s="56" t="n">
        <v>1</v>
      </c>
      <c r="W36" s="56" t="n">
        <v>1</v>
      </c>
      <c r="X36" s="56" t="n">
        <v>1</v>
      </c>
      <c r="Y36" s="56" t="n">
        <v>1</v>
      </c>
      <c r="Z36" s="55" t="n">
        <v>0</v>
      </c>
      <c r="AA36" s="55" t="n">
        <v>0</v>
      </c>
      <c r="AB36" s="55" t="n">
        <v>0</v>
      </c>
      <c r="AC36" s="55" t="n">
        <v>0</v>
      </c>
    </row>
    <row r="37" customFormat="false" ht="21.75" hidden="false" customHeight="true" outlineLevel="0" collapsed="false">
      <c r="A37" s="69" t="s">
        <v>404</v>
      </c>
      <c r="B37" s="70" t="s">
        <v>405</v>
      </c>
      <c r="C37" s="69" t="n">
        <v>5</v>
      </c>
      <c r="D37" s="69" t="s">
        <v>99</v>
      </c>
      <c r="E37" s="69" t="s">
        <v>99</v>
      </c>
      <c r="F37" s="69" t="n">
        <v>4</v>
      </c>
      <c r="G37" s="69" t="n">
        <v>8</v>
      </c>
      <c r="H37" s="69" t="n">
        <v>6</v>
      </c>
      <c r="I37" s="69" t="n">
        <v>1</v>
      </c>
      <c r="J37" s="69" t="n">
        <v>50</v>
      </c>
      <c r="K37" s="69" t="n">
        <v>1</v>
      </c>
      <c r="L37" s="69" t="n">
        <v>90</v>
      </c>
      <c r="M37" s="69" t="n">
        <v>0.4</v>
      </c>
      <c r="N37" s="69" t="n">
        <v>0.3</v>
      </c>
      <c r="O37" s="71" t="n">
        <f aca="false">INDEX(02_Freq_Weight!$E$3:$E$9,MATCH(E37,02_Freq_Weight!$A$3:$A$9,0))</f>
        <v>0.95</v>
      </c>
      <c r="P37" s="72" t="n">
        <f aca="false">$K37*05_Params!$B$4*POWER(1+$N37,05_Params!$B$13/12)*MIN($L37,05_Params!$B$13*30.44)*(1+$M37)</f>
        <v>163.8</v>
      </c>
      <c r="Q37" s="72" t="n">
        <f aca="false">$K37*05_Params!$B$4*POWER(1+$N37,05_Params!$B$14/12)*MIN($L37,05_Params!$B$14*30.44)*(1+$M37)</f>
        <v>212.94</v>
      </c>
      <c r="R37" s="72" t="n">
        <f aca="false">$K37*05_Params!$B$4*POWER(1+$N37,05_Params!$B$15/12)*MIN($L37,05_Params!$B$15*30.44)*(1+$M37)</f>
        <v>276.822</v>
      </c>
      <c r="S37" s="72" t="n">
        <f aca="false">$K37*05_Params!$B$4*POWER(1+$N37,05_Params!$B$16/12)*MIN($L37,05_Params!$B$16*30.44)*(1+$M37)</f>
        <v>467.82918</v>
      </c>
      <c r="T37" s="55" t="n">
        <v>0</v>
      </c>
      <c r="U37" s="55" t="n">
        <v>0</v>
      </c>
      <c r="V37" s="55" t="n">
        <v>0</v>
      </c>
      <c r="W37" s="55" t="n">
        <v>0</v>
      </c>
      <c r="X37" s="55" t="n">
        <v>0</v>
      </c>
      <c r="Y37" s="55" t="n">
        <v>0</v>
      </c>
      <c r="Z37" s="55" t="n">
        <v>0</v>
      </c>
      <c r="AA37" s="55" t="n">
        <v>0</v>
      </c>
      <c r="AB37" s="55" t="n">
        <v>0</v>
      </c>
      <c r="AC37" s="55" t="n">
        <v>0</v>
      </c>
    </row>
    <row r="38" customFormat="false" ht="21.75" hidden="false" customHeight="true" outlineLevel="0" collapsed="false">
      <c r="A38" s="69" t="s">
        <v>412</v>
      </c>
      <c r="B38" s="70" t="s">
        <v>413</v>
      </c>
      <c r="C38" s="69" t="n">
        <v>5</v>
      </c>
      <c r="D38" s="69" t="s">
        <v>99</v>
      </c>
      <c r="E38" s="69" t="s">
        <v>99</v>
      </c>
      <c r="F38" s="69" t="n">
        <v>2</v>
      </c>
      <c r="G38" s="69" t="n">
        <v>4</v>
      </c>
      <c r="H38" s="69" t="n">
        <v>1</v>
      </c>
      <c r="I38" s="69" t="n">
        <v>1</v>
      </c>
      <c r="J38" s="69" t="n">
        <v>20</v>
      </c>
      <c r="K38" s="69" t="n">
        <v>0.05</v>
      </c>
      <c r="L38" s="69" t="n">
        <v>2555</v>
      </c>
      <c r="M38" s="69" t="n">
        <v>0.1</v>
      </c>
      <c r="N38" s="69" t="n">
        <v>0.15</v>
      </c>
      <c r="O38" s="71" t="n">
        <f aca="false">INDEX(02_Freq_Weight!$E$3:$E$9,MATCH(E38,02_Freq_Weight!$A$3:$A$9,0))</f>
        <v>0.95</v>
      </c>
      <c r="P38" s="72" t="n">
        <f aca="false">$K38*05_Params!$B$4*POWER(1+$N38,05_Params!$B$13/12)*MIN($L38,05_Params!$B$13*30.44)*(1+$M38)</f>
        <v>23.10396</v>
      </c>
      <c r="Q38" s="72" t="n">
        <f aca="false">$K38*05_Params!$B$4*POWER(1+$N38,05_Params!$B$14/12)*MIN($L38,05_Params!$B$14*30.44)*(1+$M38)</f>
        <v>53.139108</v>
      </c>
      <c r="R38" s="72" t="n">
        <f aca="false">$K38*05_Params!$B$4*POWER(1+$N38,05_Params!$B$15/12)*MIN($L38,05_Params!$B$15*30.44)*(1+$M38)</f>
        <v>91.6649613</v>
      </c>
      <c r="S38" s="72" t="n">
        <f aca="false">$K38*05_Params!$B$4*POWER(1+$N38,05_Params!$B$16/12)*MIN($L38,05_Params!$B$16*30.44)*(1+$M38)</f>
        <v>202.04485219875</v>
      </c>
      <c r="T38" s="55" t="n">
        <v>0</v>
      </c>
      <c r="U38" s="55" t="n">
        <v>0</v>
      </c>
      <c r="V38" s="55" t="n">
        <v>0</v>
      </c>
      <c r="W38" s="55" t="n">
        <v>0</v>
      </c>
      <c r="X38" s="56" t="n">
        <v>1</v>
      </c>
      <c r="Y38" s="55" t="n">
        <v>0</v>
      </c>
      <c r="Z38" s="55" t="n">
        <v>0</v>
      </c>
      <c r="AA38" s="55" t="n">
        <v>0</v>
      </c>
      <c r="AB38" s="55" t="n">
        <v>0</v>
      </c>
      <c r="AC38" s="55" t="n">
        <v>0</v>
      </c>
    </row>
    <row r="39" customFormat="false" ht="21.75" hidden="false" customHeight="true" outlineLevel="0" collapsed="false">
      <c r="A39" s="73" t="s">
        <v>422</v>
      </c>
      <c r="B39" s="74" t="s">
        <v>423</v>
      </c>
      <c r="C39" s="73" t="n">
        <v>6</v>
      </c>
      <c r="D39" s="73" t="s">
        <v>99</v>
      </c>
      <c r="E39" s="73" t="s">
        <v>99</v>
      </c>
      <c r="F39" s="73" t="n">
        <v>2</v>
      </c>
      <c r="G39" s="73" t="n">
        <v>4</v>
      </c>
      <c r="H39" s="73" t="n">
        <v>2.5</v>
      </c>
      <c r="I39" s="73" t="n">
        <v>1</v>
      </c>
      <c r="J39" s="73" t="n">
        <v>40</v>
      </c>
      <c r="K39" s="73" t="n">
        <v>0.3</v>
      </c>
      <c r="L39" s="73" t="n">
        <v>90</v>
      </c>
      <c r="M39" s="73" t="n">
        <v>0.15</v>
      </c>
      <c r="N39" s="73" t="n">
        <v>0.2</v>
      </c>
      <c r="O39" s="75" t="n">
        <f aca="false">INDEX(02_Freq_Weight!$E$3:$E$9,MATCH(E39,02_Freq_Weight!$A$3:$A$9,0))</f>
        <v>0.95</v>
      </c>
      <c r="P39" s="76" t="n">
        <f aca="false">$K39*05_Params!$B$4*POWER(1+$N39,05_Params!$B$13/12)*MIN($L39,05_Params!$B$13*30.44)*(1+$M39)</f>
        <v>37.26</v>
      </c>
      <c r="Q39" s="76" t="n">
        <f aca="false">$K39*05_Params!$B$4*POWER(1+$N39,05_Params!$B$14/12)*MIN($L39,05_Params!$B$14*30.44)*(1+$M39)</f>
        <v>44.712</v>
      </c>
      <c r="R39" s="76" t="n">
        <f aca="false">$K39*05_Params!$B$4*POWER(1+$N39,05_Params!$B$15/12)*MIN($L39,05_Params!$B$15*30.44)*(1+$M39)</f>
        <v>53.6544</v>
      </c>
      <c r="S39" s="76" t="n">
        <f aca="false">$K39*05_Params!$B$4*POWER(1+$N39,05_Params!$B$16/12)*MIN($L39,05_Params!$B$16*30.44)*(1+$M39)</f>
        <v>77.262336</v>
      </c>
      <c r="T39" s="55" t="n">
        <v>0</v>
      </c>
      <c r="U39" s="55" t="n">
        <v>0</v>
      </c>
      <c r="V39" s="55" t="n">
        <v>0</v>
      </c>
      <c r="W39" s="55" t="n">
        <v>0</v>
      </c>
      <c r="X39" s="55" t="n">
        <v>0</v>
      </c>
      <c r="Y39" s="56" t="n">
        <v>1</v>
      </c>
      <c r="Z39" s="55" t="n">
        <v>0</v>
      </c>
      <c r="AA39" s="55" t="n">
        <v>0</v>
      </c>
      <c r="AB39" s="55" t="n">
        <v>0</v>
      </c>
      <c r="AC39" s="55" t="n">
        <v>0</v>
      </c>
    </row>
    <row r="40" customFormat="false" ht="21.75" hidden="false" customHeight="true" outlineLevel="0" collapsed="false">
      <c r="A40" s="73" t="s">
        <v>431</v>
      </c>
      <c r="B40" s="74" t="s">
        <v>432</v>
      </c>
      <c r="C40" s="73" t="n">
        <v>6</v>
      </c>
      <c r="D40" s="73" t="s">
        <v>99</v>
      </c>
      <c r="E40" s="73" t="s">
        <v>99</v>
      </c>
      <c r="F40" s="73" t="n">
        <v>2</v>
      </c>
      <c r="G40" s="73" t="n">
        <v>4</v>
      </c>
      <c r="H40" s="73" t="n">
        <v>2</v>
      </c>
      <c r="I40" s="73" t="n">
        <v>1</v>
      </c>
      <c r="J40" s="73" t="n">
        <v>20</v>
      </c>
      <c r="K40" s="73" t="n">
        <v>0.1</v>
      </c>
      <c r="L40" s="73" t="n">
        <v>365</v>
      </c>
      <c r="M40" s="73" t="n">
        <v>0.1</v>
      </c>
      <c r="N40" s="73" t="n">
        <v>0.15</v>
      </c>
      <c r="O40" s="75" t="n">
        <f aca="false">INDEX(02_Freq_Weight!$E$3:$E$9,MATCH(E40,02_Freq_Weight!$A$3:$A$9,0))</f>
        <v>0.95</v>
      </c>
      <c r="P40" s="76" t="n">
        <f aca="false">$K40*05_Params!$B$4*POWER(1+$N40,05_Params!$B$13/12)*MIN($L40,05_Params!$B$13*30.44)*(1+$M40)</f>
        <v>46.1725</v>
      </c>
      <c r="Q40" s="76" t="n">
        <f aca="false">$K40*05_Params!$B$4*POWER(1+$N40,05_Params!$B$14/12)*MIN($L40,05_Params!$B$14*30.44)*(1+$M40)</f>
        <v>53.098375</v>
      </c>
      <c r="R40" s="76" t="n">
        <f aca="false">$K40*05_Params!$B$4*POWER(1+$N40,05_Params!$B$15/12)*MIN($L40,05_Params!$B$15*30.44)*(1+$M40)</f>
        <v>61.06313125</v>
      </c>
      <c r="S40" s="76" t="n">
        <f aca="false">$K40*05_Params!$B$4*POWER(1+$N40,05_Params!$B$16/12)*MIN($L40,05_Params!$B$16*30.44)*(1+$M40)</f>
        <v>80.755991078125</v>
      </c>
      <c r="T40" s="55" t="n">
        <v>0</v>
      </c>
      <c r="U40" s="55" t="n">
        <v>0</v>
      </c>
      <c r="V40" s="55" t="n">
        <v>0</v>
      </c>
      <c r="W40" s="55" t="n">
        <v>0</v>
      </c>
      <c r="X40" s="55" t="n">
        <v>0</v>
      </c>
      <c r="Y40" s="56" t="n">
        <v>1</v>
      </c>
      <c r="Z40" s="55" t="n">
        <v>0</v>
      </c>
      <c r="AA40" s="55" t="n">
        <v>0</v>
      </c>
      <c r="AB40" s="55" t="n">
        <v>0</v>
      </c>
      <c r="AC40" s="55" t="n">
        <v>0</v>
      </c>
    </row>
    <row r="41" customFormat="false" ht="21.75" hidden="false" customHeight="true" outlineLevel="0" collapsed="false">
      <c r="A41" s="73" t="s">
        <v>439</v>
      </c>
      <c r="B41" s="74" t="s">
        <v>440</v>
      </c>
      <c r="C41" s="73" t="n">
        <v>6</v>
      </c>
      <c r="D41" s="73" t="s">
        <v>99</v>
      </c>
      <c r="E41" s="73" t="s">
        <v>99</v>
      </c>
      <c r="F41" s="73" t="n">
        <v>1</v>
      </c>
      <c r="G41" s="73" t="n">
        <v>2</v>
      </c>
      <c r="H41" s="73" t="n">
        <v>0.8</v>
      </c>
      <c r="I41" s="73" t="n">
        <v>1</v>
      </c>
      <c r="J41" s="73" t="n">
        <v>10</v>
      </c>
      <c r="K41" s="73" t="n">
        <v>0.3</v>
      </c>
      <c r="L41" s="73" t="n">
        <v>90</v>
      </c>
      <c r="M41" s="73" t="n">
        <v>0.2</v>
      </c>
      <c r="N41" s="73" t="n">
        <v>0.25</v>
      </c>
      <c r="O41" s="75" t="n">
        <f aca="false">INDEX(02_Freq_Weight!$E$3:$E$9,MATCH(E41,02_Freq_Weight!$A$3:$A$9,0))</f>
        <v>0.95</v>
      </c>
      <c r="P41" s="76" t="n">
        <f aca="false">$K41*05_Params!$B$4*POWER(1+$N41,05_Params!$B$13/12)*MIN($L41,05_Params!$B$13*30.44)*(1+$M41)</f>
        <v>40.5</v>
      </c>
      <c r="Q41" s="76" t="n">
        <f aca="false">$K41*05_Params!$B$4*POWER(1+$N41,05_Params!$B$14/12)*MIN($L41,05_Params!$B$14*30.44)*(1+$M41)</f>
        <v>50.625</v>
      </c>
      <c r="R41" s="76" t="n">
        <f aca="false">$K41*05_Params!$B$4*POWER(1+$N41,05_Params!$B$15/12)*MIN($L41,05_Params!$B$15*30.44)*(1+$M41)</f>
        <v>63.28125</v>
      </c>
      <c r="S41" s="76" t="n">
        <f aca="false">$K41*05_Params!$B$4*POWER(1+$N41,05_Params!$B$16/12)*MIN($L41,05_Params!$B$16*30.44)*(1+$M41)</f>
        <v>98.876953125</v>
      </c>
      <c r="T41" s="55" t="n">
        <v>0</v>
      </c>
      <c r="U41" s="55" t="n">
        <v>0</v>
      </c>
      <c r="V41" s="55" t="n">
        <v>0</v>
      </c>
      <c r="W41" s="55" t="n">
        <v>0</v>
      </c>
      <c r="X41" s="55" t="n">
        <v>0</v>
      </c>
      <c r="Y41" s="56" t="n">
        <v>1</v>
      </c>
      <c r="Z41" s="55" t="n">
        <v>0</v>
      </c>
      <c r="AA41" s="55" t="n">
        <v>0</v>
      </c>
      <c r="AB41" s="55" t="n">
        <v>0</v>
      </c>
      <c r="AC41" s="55" t="n">
        <v>0</v>
      </c>
    </row>
    <row r="42" customFormat="false" ht="21.75" hidden="false" customHeight="true" outlineLevel="0" collapsed="false">
      <c r="A42" s="73" t="s">
        <v>449</v>
      </c>
      <c r="B42" s="74" t="s">
        <v>450</v>
      </c>
      <c r="C42" s="73" t="n">
        <v>6</v>
      </c>
      <c r="D42" s="73" t="s">
        <v>99</v>
      </c>
      <c r="E42" s="73" t="s">
        <v>99</v>
      </c>
      <c r="F42" s="73" t="n">
        <v>2</v>
      </c>
      <c r="G42" s="73" t="n">
        <v>4</v>
      </c>
      <c r="H42" s="73" t="n">
        <v>2.5</v>
      </c>
      <c r="I42" s="73" t="n">
        <v>1</v>
      </c>
      <c r="J42" s="73" t="n">
        <v>40</v>
      </c>
      <c r="K42" s="73" t="n">
        <v>0.8</v>
      </c>
      <c r="L42" s="73" t="n">
        <v>90</v>
      </c>
      <c r="M42" s="73" t="n">
        <v>0.1</v>
      </c>
      <c r="N42" s="73" t="n">
        <v>0.3</v>
      </c>
      <c r="O42" s="75" t="n">
        <f aca="false">INDEX(02_Freq_Weight!$E$3:$E$9,MATCH(E42,02_Freq_Weight!$A$3:$A$9,0))</f>
        <v>0.95</v>
      </c>
      <c r="P42" s="76" t="n">
        <f aca="false">$K42*05_Params!$B$4*POWER(1+$N42,05_Params!$B$13/12)*MIN($L42,05_Params!$B$13*30.44)*(1+$M42)</f>
        <v>102.96</v>
      </c>
      <c r="Q42" s="76" t="n">
        <f aca="false">$K42*05_Params!$B$4*POWER(1+$N42,05_Params!$B$14/12)*MIN($L42,05_Params!$B$14*30.44)*(1+$M42)</f>
        <v>133.848</v>
      </c>
      <c r="R42" s="76" t="n">
        <f aca="false">$K42*05_Params!$B$4*POWER(1+$N42,05_Params!$B$15/12)*MIN($L42,05_Params!$B$15*30.44)*(1+$M42)</f>
        <v>174.0024</v>
      </c>
      <c r="S42" s="76" t="n">
        <f aca="false">$K42*05_Params!$B$4*POWER(1+$N42,05_Params!$B$16/12)*MIN($L42,05_Params!$B$16*30.44)*(1+$M42)</f>
        <v>294.064056</v>
      </c>
      <c r="T42" s="55" t="n">
        <v>0</v>
      </c>
      <c r="U42" s="55" t="n">
        <v>0</v>
      </c>
      <c r="V42" s="55" t="n">
        <v>0</v>
      </c>
      <c r="W42" s="55" t="n">
        <v>0</v>
      </c>
      <c r="X42" s="55" t="n">
        <v>0</v>
      </c>
      <c r="Y42" s="56" t="n">
        <v>1</v>
      </c>
      <c r="Z42" s="55" t="n">
        <v>0</v>
      </c>
      <c r="AA42" s="55" t="n">
        <v>0</v>
      </c>
      <c r="AB42" s="55" t="n">
        <v>0</v>
      </c>
      <c r="AC42" s="55" t="n">
        <v>0</v>
      </c>
    </row>
    <row r="43" customFormat="false" ht="21.75" hidden="false" customHeight="true" outlineLevel="0" collapsed="false">
      <c r="A43" s="73" t="s">
        <v>459</v>
      </c>
      <c r="B43" s="74" t="s">
        <v>460</v>
      </c>
      <c r="C43" s="73" t="n">
        <v>6</v>
      </c>
      <c r="D43" s="73" t="s">
        <v>99</v>
      </c>
      <c r="E43" s="73" t="s">
        <v>99</v>
      </c>
      <c r="F43" s="73" t="n">
        <v>1</v>
      </c>
      <c r="G43" s="73" t="n">
        <v>2</v>
      </c>
      <c r="H43" s="73" t="n">
        <v>0.6</v>
      </c>
      <c r="I43" s="73" t="n">
        <v>1</v>
      </c>
      <c r="J43" s="73" t="n">
        <v>10</v>
      </c>
      <c r="K43" s="73" t="n">
        <v>0.02</v>
      </c>
      <c r="L43" s="73" t="n">
        <v>365</v>
      </c>
      <c r="M43" s="73" t="n">
        <v>0.05</v>
      </c>
      <c r="N43" s="73" t="n">
        <v>0.15</v>
      </c>
      <c r="O43" s="75" t="n">
        <f aca="false">INDEX(02_Freq_Weight!$E$3:$E$9,MATCH(E43,02_Freq_Weight!$A$3:$A$9,0))</f>
        <v>0.95</v>
      </c>
      <c r="P43" s="76" t="n">
        <f aca="false">$K43*05_Params!$B$4*POWER(1+$N43,05_Params!$B$13/12)*MIN($L43,05_Params!$B$13*30.44)*(1+$M43)</f>
        <v>8.81475</v>
      </c>
      <c r="Q43" s="76" t="n">
        <f aca="false">$K43*05_Params!$B$4*POWER(1+$N43,05_Params!$B$14/12)*MIN($L43,05_Params!$B$14*30.44)*(1+$M43)</f>
        <v>10.1369625</v>
      </c>
      <c r="R43" s="76" t="n">
        <f aca="false">$K43*05_Params!$B$4*POWER(1+$N43,05_Params!$B$15/12)*MIN($L43,05_Params!$B$15*30.44)*(1+$M43)</f>
        <v>11.657506875</v>
      </c>
      <c r="S43" s="76" t="n">
        <f aca="false">$K43*05_Params!$B$4*POWER(1+$N43,05_Params!$B$16/12)*MIN($L43,05_Params!$B$16*30.44)*(1+$M43)</f>
        <v>15.4170528421875</v>
      </c>
      <c r="T43" s="55" t="n">
        <v>0</v>
      </c>
      <c r="U43" s="55" t="n">
        <v>0</v>
      </c>
      <c r="V43" s="55" t="n">
        <v>0</v>
      </c>
      <c r="W43" s="55" t="n">
        <v>0</v>
      </c>
      <c r="X43" s="55" t="n">
        <v>0</v>
      </c>
      <c r="Y43" s="56" t="n">
        <v>1</v>
      </c>
      <c r="Z43" s="55" t="n">
        <v>0</v>
      </c>
      <c r="AA43" s="55" t="n">
        <v>0</v>
      </c>
      <c r="AB43" s="55" t="n">
        <v>0</v>
      </c>
      <c r="AC43" s="55" t="n">
        <v>0</v>
      </c>
    </row>
    <row r="44" customFormat="false" ht="21.75" hidden="false" customHeight="true" outlineLevel="0" collapsed="false">
      <c r="A44" s="73" t="s">
        <v>468</v>
      </c>
      <c r="B44" s="74" t="s">
        <v>469</v>
      </c>
      <c r="C44" s="73" t="n">
        <v>6</v>
      </c>
      <c r="D44" s="73" t="s">
        <v>99</v>
      </c>
      <c r="E44" s="73" t="s">
        <v>99</v>
      </c>
      <c r="F44" s="73" t="n">
        <v>2</v>
      </c>
      <c r="G44" s="73" t="n">
        <v>4</v>
      </c>
      <c r="H44" s="73" t="n">
        <v>2</v>
      </c>
      <c r="I44" s="73" t="n">
        <v>1</v>
      </c>
      <c r="J44" s="73" t="n">
        <v>30</v>
      </c>
      <c r="K44" s="73" t="n">
        <v>0.4</v>
      </c>
      <c r="L44" s="73" t="n">
        <v>365</v>
      </c>
      <c r="M44" s="73" t="n">
        <v>0.25</v>
      </c>
      <c r="N44" s="73" t="n">
        <v>0.2</v>
      </c>
      <c r="O44" s="75" t="n">
        <f aca="false">INDEX(02_Freq_Weight!$E$3:$E$9,MATCH(E44,02_Freq_Weight!$A$3:$A$9,0))</f>
        <v>0.95</v>
      </c>
      <c r="P44" s="76" t="n">
        <f aca="false">$K44*05_Params!$B$4*POWER(1+$N44,05_Params!$B$13/12)*MIN($L44,05_Params!$B$13*30.44)*(1+$M44)</f>
        <v>219</v>
      </c>
      <c r="Q44" s="76" t="n">
        <f aca="false">$K44*05_Params!$B$4*POWER(1+$N44,05_Params!$B$14/12)*MIN($L44,05_Params!$B$14*30.44)*(1+$M44)</f>
        <v>262.8</v>
      </c>
      <c r="R44" s="76" t="n">
        <f aca="false">$K44*05_Params!$B$4*POWER(1+$N44,05_Params!$B$15/12)*MIN($L44,05_Params!$B$15*30.44)*(1+$M44)</f>
        <v>315.36</v>
      </c>
      <c r="S44" s="76" t="n">
        <f aca="false">$K44*05_Params!$B$4*POWER(1+$N44,05_Params!$B$16/12)*MIN($L44,05_Params!$B$16*30.44)*(1+$M44)</f>
        <v>454.1184</v>
      </c>
      <c r="T44" s="55" t="n">
        <v>0</v>
      </c>
      <c r="U44" s="55" t="n">
        <v>0</v>
      </c>
      <c r="V44" s="55" t="n">
        <v>0</v>
      </c>
      <c r="W44" s="55" t="n">
        <v>0</v>
      </c>
      <c r="X44" s="55" t="n">
        <v>0</v>
      </c>
      <c r="Y44" s="55" t="n">
        <v>0</v>
      </c>
      <c r="Z44" s="55" t="n">
        <v>0</v>
      </c>
      <c r="AA44" s="55" t="n">
        <v>0</v>
      </c>
      <c r="AB44" s="55" t="n">
        <v>0</v>
      </c>
      <c r="AC44" s="55" t="n">
        <v>0</v>
      </c>
    </row>
    <row r="45" customFormat="false" ht="21.75" hidden="false" customHeight="true" outlineLevel="0" collapsed="false">
      <c r="A45" s="73" t="s">
        <v>474</v>
      </c>
      <c r="B45" s="74" t="s">
        <v>475</v>
      </c>
      <c r="C45" s="73" t="n">
        <v>6</v>
      </c>
      <c r="D45" s="73" t="s">
        <v>217</v>
      </c>
      <c r="E45" s="73" t="s">
        <v>218</v>
      </c>
      <c r="F45" s="73" t="n">
        <v>1</v>
      </c>
      <c r="G45" s="73" t="n">
        <v>2</v>
      </c>
      <c r="H45" s="73" t="n">
        <v>0.1</v>
      </c>
      <c r="I45" s="73" t="n">
        <v>0</v>
      </c>
      <c r="J45" s="73" t="n">
        <v>15</v>
      </c>
      <c r="K45" s="73" t="n">
        <v>0.05</v>
      </c>
      <c r="L45" s="73" t="n">
        <v>365</v>
      </c>
      <c r="M45" s="73" t="n">
        <v>0.1</v>
      </c>
      <c r="N45" s="73" t="n">
        <v>0.15</v>
      </c>
      <c r="O45" s="75" t="n">
        <f aca="false">INDEX(02_Freq_Weight!$E$3:$E$9,MATCH(E45,02_Freq_Weight!$A$3:$A$9,0))</f>
        <v>0.6575</v>
      </c>
      <c r="P45" s="76" t="n">
        <f aca="false">$K45*05_Params!$B$4*POWER(1+$N45,05_Params!$B$13/12)*MIN($L45,05_Params!$B$13*30.44)*(1+$M45)</f>
        <v>23.08625</v>
      </c>
      <c r="Q45" s="76" t="n">
        <f aca="false">$K45*05_Params!$B$4*POWER(1+$N45,05_Params!$B$14/12)*MIN($L45,05_Params!$B$14*30.44)*(1+$M45)</f>
        <v>26.5491875</v>
      </c>
      <c r="R45" s="76" t="n">
        <f aca="false">$K45*05_Params!$B$4*POWER(1+$N45,05_Params!$B$15/12)*MIN($L45,05_Params!$B$15*30.44)*(1+$M45)</f>
        <v>30.531565625</v>
      </c>
      <c r="S45" s="76" t="n">
        <f aca="false">$K45*05_Params!$B$4*POWER(1+$N45,05_Params!$B$16/12)*MIN($L45,05_Params!$B$16*30.44)*(1+$M45)</f>
        <v>40.3779955390625</v>
      </c>
      <c r="T45" s="55" t="n">
        <v>0</v>
      </c>
      <c r="U45" s="55" t="n">
        <v>0</v>
      </c>
      <c r="V45" s="55" t="n">
        <v>0</v>
      </c>
      <c r="W45" s="55" t="n">
        <v>0</v>
      </c>
      <c r="X45" s="55" t="n">
        <v>0</v>
      </c>
      <c r="Y45" s="56" t="n">
        <v>1</v>
      </c>
      <c r="Z45" s="55" t="n">
        <v>0</v>
      </c>
      <c r="AA45" s="55" t="n">
        <v>0</v>
      </c>
      <c r="AB45" s="55" t="n">
        <v>0</v>
      </c>
      <c r="AC45" s="55" t="n">
        <v>0</v>
      </c>
    </row>
    <row r="46" customFormat="false" ht="21.75" hidden="false" customHeight="true" outlineLevel="0" collapsed="false">
      <c r="A46" s="73" t="s">
        <v>484</v>
      </c>
      <c r="B46" s="74" t="s">
        <v>485</v>
      </c>
      <c r="C46" s="73" t="n">
        <v>6</v>
      </c>
      <c r="D46" s="73" t="s">
        <v>99</v>
      </c>
      <c r="E46" s="73" t="s">
        <v>99</v>
      </c>
      <c r="F46" s="73" t="n">
        <v>2</v>
      </c>
      <c r="G46" s="73" t="n">
        <v>4</v>
      </c>
      <c r="H46" s="73" t="n">
        <v>1</v>
      </c>
      <c r="I46" s="73" t="n">
        <v>1</v>
      </c>
      <c r="J46" s="73" t="n">
        <v>15</v>
      </c>
      <c r="K46" s="73" t="n">
        <v>0.4</v>
      </c>
      <c r="L46" s="73" t="n">
        <v>90</v>
      </c>
      <c r="M46" s="73" t="n">
        <v>0.15</v>
      </c>
      <c r="N46" s="73" t="n">
        <v>0.25</v>
      </c>
      <c r="O46" s="75" t="n">
        <f aca="false">INDEX(02_Freq_Weight!$E$3:$E$9,MATCH(E46,02_Freq_Weight!$A$3:$A$9,0))</f>
        <v>0.95</v>
      </c>
      <c r="P46" s="76" t="n">
        <f aca="false">$K46*05_Params!$B$4*POWER(1+$N46,05_Params!$B$13/12)*MIN($L46,05_Params!$B$13*30.44)*(1+$M46)</f>
        <v>51.75</v>
      </c>
      <c r="Q46" s="76" t="n">
        <f aca="false">$K46*05_Params!$B$4*POWER(1+$N46,05_Params!$B$14/12)*MIN($L46,05_Params!$B$14*30.44)*(1+$M46)</f>
        <v>64.6875</v>
      </c>
      <c r="R46" s="76" t="n">
        <f aca="false">$K46*05_Params!$B$4*POWER(1+$N46,05_Params!$B$15/12)*MIN($L46,05_Params!$B$15*30.44)*(1+$M46)</f>
        <v>80.859375</v>
      </c>
      <c r="S46" s="76" t="n">
        <f aca="false">$K46*05_Params!$B$4*POWER(1+$N46,05_Params!$B$16/12)*MIN($L46,05_Params!$B$16*30.44)*(1+$M46)</f>
        <v>126.3427734375</v>
      </c>
      <c r="T46" s="56" t="n">
        <v>1</v>
      </c>
      <c r="U46" s="55" t="n">
        <v>0</v>
      </c>
      <c r="V46" s="55" t="n">
        <v>0</v>
      </c>
      <c r="W46" s="55" t="n">
        <v>0</v>
      </c>
      <c r="X46" s="55" t="n">
        <v>0</v>
      </c>
      <c r="Y46" s="55" t="n">
        <v>0</v>
      </c>
      <c r="Z46" s="55" t="n">
        <v>0</v>
      </c>
      <c r="AA46" s="55" t="n">
        <v>0</v>
      </c>
      <c r="AB46" s="55" t="n">
        <v>0</v>
      </c>
      <c r="AC46" s="55" t="n">
        <v>0</v>
      </c>
    </row>
    <row r="47" customFormat="false" ht="21.75" hidden="false" customHeight="true" outlineLevel="0" collapsed="false">
      <c r="A47" s="73" t="s">
        <v>492</v>
      </c>
      <c r="B47" s="74" t="s">
        <v>493</v>
      </c>
      <c r="C47" s="73" t="n">
        <v>6</v>
      </c>
      <c r="D47" s="73" t="s">
        <v>99</v>
      </c>
      <c r="E47" s="73" t="s">
        <v>99</v>
      </c>
      <c r="F47" s="73" t="n">
        <v>2</v>
      </c>
      <c r="G47" s="73" t="n">
        <v>4</v>
      </c>
      <c r="H47" s="73" t="n">
        <v>1.5</v>
      </c>
      <c r="I47" s="73" t="n">
        <v>1</v>
      </c>
      <c r="J47" s="73" t="n">
        <v>20</v>
      </c>
      <c r="K47" s="73" t="n">
        <v>0.1</v>
      </c>
      <c r="L47" s="73" t="n">
        <v>2555</v>
      </c>
      <c r="M47" s="73" t="n">
        <v>0.15</v>
      </c>
      <c r="N47" s="73" t="n">
        <v>0.2</v>
      </c>
      <c r="O47" s="75" t="n">
        <f aca="false">INDEX(02_Freq_Weight!$E$3:$E$9,MATCH(E47,02_Freq_Weight!$A$3:$A$9,0))</f>
        <v>0.95</v>
      </c>
      <c r="P47" s="76" t="n">
        <f aca="false">$K47*05_Params!$B$4*POWER(1+$N47,05_Params!$B$13/12)*MIN($L47,05_Params!$B$13*30.44)*(1+$M47)</f>
        <v>50.40864</v>
      </c>
      <c r="Q47" s="76" t="n">
        <f aca="false">$K47*05_Params!$B$4*POWER(1+$N47,05_Params!$B$14/12)*MIN($L47,05_Params!$B$14*30.44)*(1+$M47)</f>
        <v>120.980736</v>
      </c>
      <c r="R47" s="76" t="n">
        <f aca="false">$K47*05_Params!$B$4*POWER(1+$N47,05_Params!$B$15/12)*MIN($L47,05_Params!$B$15*30.44)*(1+$M47)</f>
        <v>217.7653248</v>
      </c>
      <c r="S47" s="76" t="n">
        <f aca="false">$K47*05_Params!$B$4*POWER(1+$N47,05_Params!$B$16/12)*MIN($L47,05_Params!$B$16*30.44)*(1+$M47)</f>
        <v>522.63677952</v>
      </c>
      <c r="T47" s="56" t="n">
        <v>1</v>
      </c>
      <c r="U47" s="55" t="n">
        <v>0</v>
      </c>
      <c r="V47" s="55" t="n">
        <v>0</v>
      </c>
      <c r="W47" s="55" t="n">
        <v>0</v>
      </c>
      <c r="X47" s="55" t="n">
        <v>0</v>
      </c>
      <c r="Y47" s="55" t="n">
        <v>0</v>
      </c>
      <c r="Z47" s="55" t="n">
        <v>0</v>
      </c>
      <c r="AA47" s="55" t="n">
        <v>0</v>
      </c>
      <c r="AB47" s="55" t="n">
        <v>0</v>
      </c>
      <c r="AC47" s="55" t="n">
        <v>0</v>
      </c>
    </row>
    <row r="48" customFormat="false" ht="21.75" hidden="false" customHeight="true" outlineLevel="0" collapsed="false">
      <c r="A48" s="73" t="s">
        <v>500</v>
      </c>
      <c r="B48" s="74" t="s">
        <v>501</v>
      </c>
      <c r="C48" s="73" t="n">
        <v>6</v>
      </c>
      <c r="D48" s="73" t="s">
        <v>217</v>
      </c>
      <c r="E48" s="73" t="s">
        <v>218</v>
      </c>
      <c r="F48" s="73" t="n">
        <v>1</v>
      </c>
      <c r="G48" s="73" t="n">
        <v>2</v>
      </c>
      <c r="H48" s="73" t="n">
        <v>0.2</v>
      </c>
      <c r="I48" s="73" t="n">
        <v>0</v>
      </c>
      <c r="J48" s="73" t="n">
        <v>20</v>
      </c>
      <c r="K48" s="73" t="n">
        <v>2</v>
      </c>
      <c r="L48" s="73" t="n">
        <v>90</v>
      </c>
      <c r="M48" s="73" t="n">
        <v>0.05</v>
      </c>
      <c r="N48" s="73" t="n">
        <v>0.25</v>
      </c>
      <c r="O48" s="75" t="n">
        <f aca="false">INDEX(02_Freq_Weight!$E$3:$E$9,MATCH(E48,02_Freq_Weight!$A$3:$A$9,0))</f>
        <v>0.6575</v>
      </c>
      <c r="P48" s="76" t="n">
        <f aca="false">$K48*05_Params!$B$4*POWER(1+$N48,05_Params!$B$13/12)*MIN($L48,05_Params!$B$13*30.44)*(1+$M48)</f>
        <v>236.25</v>
      </c>
      <c r="Q48" s="76" t="n">
        <f aca="false">$K48*05_Params!$B$4*POWER(1+$N48,05_Params!$B$14/12)*MIN($L48,05_Params!$B$14*30.44)*(1+$M48)</f>
        <v>295.3125</v>
      </c>
      <c r="R48" s="76" t="n">
        <f aca="false">$K48*05_Params!$B$4*POWER(1+$N48,05_Params!$B$15/12)*MIN($L48,05_Params!$B$15*30.44)*(1+$M48)</f>
        <v>369.140625</v>
      </c>
      <c r="S48" s="76" t="n">
        <f aca="false">$K48*05_Params!$B$4*POWER(1+$N48,05_Params!$B$16/12)*MIN($L48,05_Params!$B$16*30.44)*(1+$M48)</f>
        <v>576.7822265625</v>
      </c>
      <c r="T48" s="55" t="n">
        <v>0</v>
      </c>
      <c r="U48" s="55" t="n">
        <v>0</v>
      </c>
      <c r="V48" s="55" t="n">
        <v>0</v>
      </c>
      <c r="W48" s="55" t="n">
        <v>0</v>
      </c>
      <c r="X48" s="55" t="n">
        <v>0</v>
      </c>
      <c r="Y48" s="56" t="n">
        <v>1</v>
      </c>
      <c r="Z48" s="55" t="n">
        <v>0</v>
      </c>
      <c r="AA48" s="55" t="n">
        <v>0</v>
      </c>
      <c r="AB48" s="55" t="n">
        <v>0</v>
      </c>
      <c r="AC48" s="55" t="n">
        <v>0</v>
      </c>
    </row>
    <row r="49" customFormat="false" ht="21.75" hidden="false" customHeight="true" outlineLevel="0" collapsed="false">
      <c r="A49" s="73" t="s">
        <v>508</v>
      </c>
      <c r="B49" s="74" t="s">
        <v>509</v>
      </c>
      <c r="C49" s="73" t="n">
        <v>6</v>
      </c>
      <c r="D49" s="73" t="s">
        <v>217</v>
      </c>
      <c r="E49" s="73" t="s">
        <v>240</v>
      </c>
      <c r="F49" s="73" t="n">
        <v>2</v>
      </c>
      <c r="G49" s="73" t="n">
        <v>4</v>
      </c>
      <c r="H49" s="73" t="n">
        <v>0</v>
      </c>
      <c r="I49" s="73" t="n">
        <v>0</v>
      </c>
      <c r="J49" s="73" t="n">
        <v>15</v>
      </c>
      <c r="K49" s="73" t="n">
        <v>0.05</v>
      </c>
      <c r="L49" s="73" t="n">
        <v>730</v>
      </c>
      <c r="M49" s="73" t="n">
        <v>0.1</v>
      </c>
      <c r="N49" s="73" t="n">
        <v>0.15</v>
      </c>
      <c r="O49" s="75" t="n">
        <f aca="false">INDEX(02_Freq_Weight!$E$3:$E$9,MATCH(E49,02_Freq_Weight!$A$3:$A$9,0))</f>
        <v>0.5675</v>
      </c>
      <c r="P49" s="76" t="n">
        <f aca="false">$K49*05_Params!$B$4*POWER(1+$N49,05_Params!$B$13/12)*MIN($L49,05_Params!$B$13*30.44)*(1+$M49)</f>
        <v>23.10396</v>
      </c>
      <c r="Q49" s="76" t="n">
        <f aca="false">$K49*05_Params!$B$4*POWER(1+$N49,05_Params!$B$14/12)*MIN($L49,05_Params!$B$14*30.44)*(1+$M49)</f>
        <v>53.098375</v>
      </c>
      <c r="R49" s="76" t="n">
        <f aca="false">$K49*05_Params!$B$4*POWER(1+$N49,05_Params!$B$15/12)*MIN($L49,05_Params!$B$15*30.44)*(1+$M49)</f>
        <v>61.06313125</v>
      </c>
      <c r="S49" s="76" t="n">
        <f aca="false">$K49*05_Params!$B$4*POWER(1+$N49,05_Params!$B$16/12)*MIN($L49,05_Params!$B$16*30.44)*(1+$M49)</f>
        <v>80.755991078125</v>
      </c>
      <c r="T49" s="55" t="n">
        <v>0</v>
      </c>
      <c r="U49" s="55" t="n">
        <v>0</v>
      </c>
      <c r="V49" s="55" t="n">
        <v>0</v>
      </c>
      <c r="W49" s="56" t="n">
        <v>1</v>
      </c>
      <c r="X49" s="55" t="n">
        <v>0</v>
      </c>
      <c r="Y49" s="55" t="n">
        <v>0</v>
      </c>
      <c r="Z49" s="55" t="n">
        <v>0</v>
      </c>
      <c r="AA49" s="55" t="n">
        <v>0</v>
      </c>
      <c r="AB49" s="55" t="n">
        <v>0</v>
      </c>
      <c r="AC49" s="55" t="n">
        <v>0</v>
      </c>
    </row>
    <row r="50" customFormat="false" ht="21.75" hidden="false" customHeight="true" outlineLevel="0" collapsed="false">
      <c r="A50" s="69" t="s">
        <v>517</v>
      </c>
      <c r="B50" s="70" t="s">
        <v>518</v>
      </c>
      <c r="C50" s="69" t="n">
        <v>5</v>
      </c>
      <c r="D50" s="69" t="s">
        <v>99</v>
      </c>
      <c r="E50" s="69" t="s">
        <v>99</v>
      </c>
      <c r="F50" s="69" t="n">
        <v>2</v>
      </c>
      <c r="G50" s="69" t="n">
        <v>4</v>
      </c>
      <c r="H50" s="69" t="n">
        <v>1.5</v>
      </c>
      <c r="I50" s="69" t="n">
        <v>1</v>
      </c>
      <c r="J50" s="69" t="n">
        <v>20</v>
      </c>
      <c r="K50" s="69" t="n">
        <v>0.5</v>
      </c>
      <c r="L50" s="69" t="n">
        <v>730</v>
      </c>
      <c r="M50" s="69" t="n">
        <v>0.15</v>
      </c>
      <c r="N50" s="69" t="n">
        <v>0.4</v>
      </c>
      <c r="O50" s="71" t="n">
        <f aca="false">INDEX(02_Freq_Weight!$E$3:$E$9,MATCH(E50,02_Freq_Weight!$A$3:$A$9,0))</f>
        <v>0.95</v>
      </c>
      <c r="P50" s="72" t="n">
        <f aca="false">$K50*05_Params!$B$4*POWER(1+$N50,05_Params!$B$13/12)*MIN($L50,05_Params!$B$13*30.44)*(1+$M50)</f>
        <v>294.0504</v>
      </c>
      <c r="Q50" s="72" t="n">
        <f aca="false">$K50*05_Params!$B$4*POWER(1+$N50,05_Params!$B$14/12)*MIN($L50,05_Params!$B$14*30.44)*(1+$M50)</f>
        <v>822.71</v>
      </c>
      <c r="R50" s="72" t="n">
        <f aca="false">$K50*05_Params!$B$4*POWER(1+$N50,05_Params!$B$15/12)*MIN($L50,05_Params!$B$15*30.44)*(1+$M50)</f>
        <v>1151.794</v>
      </c>
      <c r="S50" s="72" t="n">
        <f aca="false">$K50*05_Params!$B$4*POWER(1+$N50,05_Params!$B$16/12)*MIN($L50,05_Params!$B$16*30.44)*(1+$M50)</f>
        <v>2257.51624</v>
      </c>
      <c r="T50" s="55" t="n">
        <v>0</v>
      </c>
      <c r="U50" s="55" t="n">
        <v>0</v>
      </c>
      <c r="V50" s="55" t="n">
        <v>0</v>
      </c>
      <c r="W50" s="55" t="n">
        <v>0</v>
      </c>
      <c r="X50" s="55" t="n">
        <v>0</v>
      </c>
      <c r="Y50" s="55" t="n">
        <v>0</v>
      </c>
      <c r="Z50" s="55" t="n">
        <v>0</v>
      </c>
      <c r="AA50" s="55" t="n">
        <v>0</v>
      </c>
      <c r="AB50" s="55" t="n">
        <v>0</v>
      </c>
      <c r="AC50" s="55" t="n">
        <v>0</v>
      </c>
    </row>
    <row r="51" customFormat="false" ht="21.75" hidden="false" customHeight="true" outlineLevel="0" collapsed="false">
      <c r="A51" s="65" t="s">
        <v>525</v>
      </c>
      <c r="B51" s="66" t="s">
        <v>526</v>
      </c>
      <c r="C51" s="65" t="n">
        <v>4</v>
      </c>
      <c r="D51" s="65" t="s">
        <v>328</v>
      </c>
      <c r="E51" s="65" t="s">
        <v>229</v>
      </c>
      <c r="F51" s="65" t="n">
        <v>4</v>
      </c>
      <c r="G51" s="65" t="n">
        <v>8</v>
      </c>
      <c r="H51" s="65" t="n">
        <v>0</v>
      </c>
      <c r="I51" s="65" t="n">
        <v>0</v>
      </c>
      <c r="J51" s="65" t="n">
        <v>40</v>
      </c>
      <c r="K51" s="65" t="n">
        <v>0.2</v>
      </c>
      <c r="L51" s="65" t="n">
        <v>365</v>
      </c>
      <c r="M51" s="65" t="n">
        <v>0.1</v>
      </c>
      <c r="N51" s="65" t="n">
        <v>0.3</v>
      </c>
      <c r="O51" s="67" t="n">
        <f aca="false">INDEX(02_Freq_Weight!$E$3:$E$9,MATCH(E51,02_Freq_Weight!$A$3:$A$9,0))</f>
        <v>0.7925</v>
      </c>
      <c r="P51" s="68" t="n">
        <f aca="false">$K51*05_Params!$B$4*POWER(1+$N51,05_Params!$B$13/12)*MIN($L51,05_Params!$B$13*30.44)*(1+$M51)</f>
        <v>104.39</v>
      </c>
      <c r="Q51" s="68" t="n">
        <f aca="false">$K51*05_Params!$B$4*POWER(1+$N51,05_Params!$B$14/12)*MIN($L51,05_Params!$B$14*30.44)*(1+$M51)</f>
        <v>135.707</v>
      </c>
      <c r="R51" s="68" t="n">
        <f aca="false">$K51*05_Params!$B$4*POWER(1+$N51,05_Params!$B$15/12)*MIN($L51,05_Params!$B$15*30.44)*(1+$M51)</f>
        <v>176.4191</v>
      </c>
      <c r="S51" s="68" t="n">
        <f aca="false">$K51*05_Params!$B$4*POWER(1+$N51,05_Params!$B$16/12)*MIN($L51,05_Params!$B$16*30.44)*(1+$M51)</f>
        <v>298.148279</v>
      </c>
      <c r="T51" s="55" t="n">
        <v>0</v>
      </c>
      <c r="U51" s="55" t="n">
        <v>0</v>
      </c>
      <c r="V51" s="55" t="n">
        <v>0</v>
      </c>
      <c r="W51" s="55" t="n">
        <v>0</v>
      </c>
      <c r="X51" s="55" t="n">
        <v>0</v>
      </c>
      <c r="Y51" s="55" t="n">
        <v>0</v>
      </c>
      <c r="Z51" s="55" t="n">
        <v>0</v>
      </c>
      <c r="AA51" s="55" t="n">
        <v>0</v>
      </c>
      <c r="AB51" s="55" t="n">
        <v>0</v>
      </c>
      <c r="AC51" s="55" t="n">
        <v>0</v>
      </c>
    </row>
    <row r="52" customFormat="false" ht="21.75" hidden="false" customHeight="true" outlineLevel="0" collapsed="false">
      <c r="A52" s="61" t="s">
        <v>533</v>
      </c>
      <c r="B52" s="62" t="s">
        <v>534</v>
      </c>
      <c r="C52" s="61" t="n">
        <v>3</v>
      </c>
      <c r="D52" s="61" t="s">
        <v>328</v>
      </c>
      <c r="E52" s="61" t="s">
        <v>240</v>
      </c>
      <c r="F52" s="61" t="n">
        <v>8</v>
      </c>
      <c r="G52" s="61" t="n">
        <v>16</v>
      </c>
      <c r="H52" s="61" t="n">
        <v>0</v>
      </c>
      <c r="I52" s="61" t="n">
        <v>0</v>
      </c>
      <c r="J52" s="61" t="n">
        <v>200</v>
      </c>
      <c r="K52" s="61" t="n">
        <v>5</v>
      </c>
      <c r="L52" s="61" t="n">
        <v>180</v>
      </c>
      <c r="M52" s="61" t="n">
        <v>0.1</v>
      </c>
      <c r="N52" s="61" t="n">
        <v>0.4</v>
      </c>
      <c r="O52" s="63" t="n">
        <f aca="false">INDEX(02_Freq_Weight!$E$3:$E$9,MATCH(E52,02_Freq_Weight!$A$3:$A$9,0))</f>
        <v>0.5675</v>
      </c>
      <c r="P52" s="64" t="n">
        <f aca="false">$K52*05_Params!$B$4*POWER(1+$N52,05_Params!$B$13/12)*MIN($L52,05_Params!$B$13*30.44)*(1+$M52)</f>
        <v>1386</v>
      </c>
      <c r="Q52" s="64" t="n">
        <f aca="false">$K52*05_Params!$B$4*POWER(1+$N52,05_Params!$B$14/12)*MIN($L52,05_Params!$B$14*30.44)*(1+$M52)</f>
        <v>1940.4</v>
      </c>
      <c r="R52" s="64" t="n">
        <f aca="false">$K52*05_Params!$B$4*POWER(1+$N52,05_Params!$B$15/12)*MIN($L52,05_Params!$B$15*30.44)*(1+$M52)</f>
        <v>2716.56</v>
      </c>
      <c r="S52" s="64" t="n">
        <f aca="false">$K52*05_Params!$B$4*POWER(1+$N52,05_Params!$B$16/12)*MIN($L52,05_Params!$B$16*30.44)*(1+$M52)</f>
        <v>5324.4576</v>
      </c>
      <c r="T52" s="55" t="n">
        <v>0</v>
      </c>
      <c r="U52" s="55" t="n">
        <v>0</v>
      </c>
      <c r="V52" s="55" t="n">
        <v>0</v>
      </c>
      <c r="W52" s="55" t="n">
        <v>0</v>
      </c>
      <c r="X52" s="55" t="n">
        <v>0</v>
      </c>
      <c r="Y52" s="55" t="n">
        <v>0</v>
      </c>
      <c r="Z52" s="55" t="n">
        <v>0</v>
      </c>
      <c r="AA52" s="55" t="n">
        <v>0</v>
      </c>
      <c r="AB52" s="55" t="n">
        <v>0</v>
      </c>
      <c r="AC52" s="55" t="n">
        <v>0</v>
      </c>
    </row>
    <row r="53" customFormat="false" ht="21.75" hidden="false" customHeight="true" outlineLevel="0" collapsed="false">
      <c r="A53" s="69" t="s">
        <v>540</v>
      </c>
      <c r="B53" s="70" t="s">
        <v>541</v>
      </c>
      <c r="C53" s="69" t="n">
        <v>5</v>
      </c>
      <c r="D53" s="69" t="s">
        <v>99</v>
      </c>
      <c r="E53" s="69" t="s">
        <v>99</v>
      </c>
      <c r="F53" s="69" t="n">
        <v>1</v>
      </c>
      <c r="G53" s="69" t="n">
        <v>2</v>
      </c>
      <c r="H53" s="69" t="n">
        <v>1</v>
      </c>
      <c r="I53" s="69" t="n">
        <v>1</v>
      </c>
      <c r="J53" s="69" t="n">
        <v>10</v>
      </c>
      <c r="K53" s="69" t="n">
        <v>0.05</v>
      </c>
      <c r="L53" s="69" t="n">
        <v>30</v>
      </c>
      <c r="M53" s="69" t="n">
        <v>0.1</v>
      </c>
      <c r="N53" s="69" t="n">
        <v>0.2</v>
      </c>
      <c r="O53" s="71" t="n">
        <f aca="false">INDEX(02_Freq_Weight!$E$3:$E$9,MATCH(E53,02_Freq_Weight!$A$3:$A$9,0))</f>
        <v>0.95</v>
      </c>
      <c r="P53" s="72" t="n">
        <f aca="false">$K53*05_Params!$B$4*POWER(1+$N53,05_Params!$B$13/12)*MIN($L53,05_Params!$B$13*30.44)*(1+$M53)</f>
        <v>1.98</v>
      </c>
      <c r="Q53" s="72" t="n">
        <f aca="false">$K53*05_Params!$B$4*POWER(1+$N53,05_Params!$B$14/12)*MIN($L53,05_Params!$B$14*30.44)*(1+$M53)</f>
        <v>2.376</v>
      </c>
      <c r="R53" s="72" t="n">
        <f aca="false">$K53*05_Params!$B$4*POWER(1+$N53,05_Params!$B$15/12)*MIN($L53,05_Params!$B$15*30.44)*(1+$M53)</f>
        <v>2.8512</v>
      </c>
      <c r="S53" s="72" t="n">
        <f aca="false">$K53*05_Params!$B$4*POWER(1+$N53,05_Params!$B$16/12)*MIN($L53,05_Params!$B$16*30.44)*(1+$M53)</f>
        <v>4.105728</v>
      </c>
      <c r="T53" s="55" t="n">
        <v>0</v>
      </c>
      <c r="U53" s="55" t="n">
        <v>0</v>
      </c>
      <c r="V53" s="55" t="n">
        <v>0</v>
      </c>
      <c r="W53" s="55" t="n">
        <v>0</v>
      </c>
      <c r="X53" s="56" t="n">
        <v>1</v>
      </c>
      <c r="Y53" s="55" t="n">
        <v>0</v>
      </c>
      <c r="Z53" s="55" t="n">
        <v>0</v>
      </c>
      <c r="AA53" s="55" t="n">
        <v>0</v>
      </c>
      <c r="AB53" s="55" t="n">
        <v>0</v>
      </c>
      <c r="AC53" s="55" t="n">
        <v>0</v>
      </c>
    </row>
    <row r="54" customFormat="false" ht="21.75" hidden="false" customHeight="true" outlineLevel="0" collapsed="false">
      <c r="A54" s="69" t="s">
        <v>547</v>
      </c>
      <c r="B54" s="70" t="s">
        <v>548</v>
      </c>
      <c r="C54" s="69" t="n">
        <v>5</v>
      </c>
      <c r="D54" s="69" t="s">
        <v>99</v>
      </c>
      <c r="E54" s="69" t="s">
        <v>99</v>
      </c>
      <c r="F54" s="69" t="n">
        <v>2</v>
      </c>
      <c r="G54" s="69" t="n">
        <v>4</v>
      </c>
      <c r="H54" s="69" t="n">
        <v>1.5</v>
      </c>
      <c r="I54" s="69" t="n">
        <v>1</v>
      </c>
      <c r="J54" s="69" t="n">
        <v>15</v>
      </c>
      <c r="K54" s="69" t="n">
        <v>0.1</v>
      </c>
      <c r="L54" s="69" t="n">
        <v>30</v>
      </c>
      <c r="M54" s="69" t="n">
        <v>0.1</v>
      </c>
      <c r="N54" s="69" t="n">
        <v>0.2</v>
      </c>
      <c r="O54" s="71" t="n">
        <f aca="false">INDEX(02_Freq_Weight!$E$3:$E$9,MATCH(E54,02_Freq_Weight!$A$3:$A$9,0))</f>
        <v>0.95</v>
      </c>
      <c r="P54" s="72" t="n">
        <f aca="false">$K54*05_Params!$B$4*POWER(1+$N54,05_Params!$B$13/12)*MIN($L54,05_Params!$B$13*30.44)*(1+$M54)</f>
        <v>3.96</v>
      </c>
      <c r="Q54" s="72" t="n">
        <f aca="false">$K54*05_Params!$B$4*POWER(1+$N54,05_Params!$B$14/12)*MIN($L54,05_Params!$B$14*30.44)*(1+$M54)</f>
        <v>4.752</v>
      </c>
      <c r="R54" s="72" t="n">
        <f aca="false">$K54*05_Params!$B$4*POWER(1+$N54,05_Params!$B$15/12)*MIN($L54,05_Params!$B$15*30.44)*(1+$M54)</f>
        <v>5.7024</v>
      </c>
      <c r="S54" s="72" t="n">
        <f aca="false">$K54*05_Params!$B$4*POWER(1+$N54,05_Params!$B$16/12)*MIN($L54,05_Params!$B$16*30.44)*(1+$M54)</f>
        <v>8.211456</v>
      </c>
      <c r="T54" s="55" t="n">
        <v>0</v>
      </c>
      <c r="U54" s="55" t="n">
        <v>0</v>
      </c>
      <c r="V54" s="55" t="n">
        <v>0</v>
      </c>
      <c r="W54" s="55" t="n">
        <v>0</v>
      </c>
      <c r="X54" s="55" t="n">
        <v>0</v>
      </c>
      <c r="Y54" s="55" t="n">
        <v>0</v>
      </c>
      <c r="Z54" s="55" t="n">
        <v>0</v>
      </c>
      <c r="AA54" s="55" t="n">
        <v>0</v>
      </c>
      <c r="AB54" s="55" t="n">
        <v>0</v>
      </c>
      <c r="AC54" s="55" t="n">
        <v>0</v>
      </c>
    </row>
    <row r="55" customFormat="false" ht="21.75" hidden="false" customHeight="true" outlineLevel="0" collapsed="false">
      <c r="A55" s="69" t="s">
        <v>554</v>
      </c>
      <c r="B55" s="70" t="s">
        <v>555</v>
      </c>
      <c r="C55" s="69" t="n">
        <v>5</v>
      </c>
      <c r="D55" s="69" t="s">
        <v>99</v>
      </c>
      <c r="E55" s="69" t="s">
        <v>99</v>
      </c>
      <c r="F55" s="69" t="n">
        <v>1</v>
      </c>
      <c r="G55" s="69" t="n">
        <v>2</v>
      </c>
      <c r="H55" s="69" t="n">
        <v>0.3</v>
      </c>
      <c r="I55" s="69" t="n">
        <v>1</v>
      </c>
      <c r="J55" s="69" t="n">
        <v>20</v>
      </c>
      <c r="K55" s="69" t="n">
        <v>0.5</v>
      </c>
      <c r="L55" s="69" t="n">
        <v>180</v>
      </c>
      <c r="M55" s="69" t="n">
        <v>0.05</v>
      </c>
      <c r="N55" s="69" t="n">
        <v>0.25</v>
      </c>
      <c r="O55" s="71" t="n">
        <f aca="false">INDEX(02_Freq_Weight!$E$3:$E$9,MATCH(E55,02_Freq_Weight!$A$3:$A$9,0))</f>
        <v>0.95</v>
      </c>
      <c r="P55" s="72" t="n">
        <f aca="false">$K55*05_Params!$B$4*POWER(1+$N55,05_Params!$B$13/12)*MIN($L55,05_Params!$B$13*30.44)*(1+$M55)</f>
        <v>118.125</v>
      </c>
      <c r="Q55" s="72" t="n">
        <f aca="false">$K55*05_Params!$B$4*POWER(1+$N55,05_Params!$B$14/12)*MIN($L55,05_Params!$B$14*30.44)*(1+$M55)</f>
        <v>147.65625</v>
      </c>
      <c r="R55" s="72" t="n">
        <f aca="false">$K55*05_Params!$B$4*POWER(1+$N55,05_Params!$B$15/12)*MIN($L55,05_Params!$B$15*30.44)*(1+$M55)</f>
        <v>184.5703125</v>
      </c>
      <c r="S55" s="72" t="n">
        <f aca="false">$K55*05_Params!$B$4*POWER(1+$N55,05_Params!$B$16/12)*MIN($L55,05_Params!$B$16*30.44)*(1+$M55)</f>
        <v>288.39111328125</v>
      </c>
      <c r="T55" s="55" t="n">
        <v>0</v>
      </c>
      <c r="U55" s="55" t="n">
        <v>0</v>
      </c>
      <c r="V55" s="55" t="n">
        <v>0</v>
      </c>
      <c r="W55" s="55" t="n">
        <v>0</v>
      </c>
      <c r="X55" s="55" t="n">
        <v>0</v>
      </c>
      <c r="Y55" s="55" t="n">
        <v>0</v>
      </c>
      <c r="Z55" s="55" t="n">
        <v>0</v>
      </c>
      <c r="AA55" s="55" t="n">
        <v>0</v>
      </c>
      <c r="AB55" s="55" t="n">
        <v>0</v>
      </c>
      <c r="AC55" s="55" t="n">
        <v>0</v>
      </c>
    </row>
    <row r="56" customFormat="false" ht="15" hidden="false" customHeight="false" outlineLevel="0" collapsed="false">
      <c r="A56" s="77" t="s">
        <v>635</v>
      </c>
      <c r="T56" s="78" t="n">
        <f aca="false">SUM(T3:T55)</f>
        <v>4</v>
      </c>
      <c r="U56" s="78" t="n">
        <f aca="false">SUM(U3:U55)</f>
        <v>6</v>
      </c>
      <c r="V56" s="78" t="n">
        <f aca="false">SUM(V3:V55)</f>
        <v>13</v>
      </c>
      <c r="W56" s="78" t="n">
        <f aca="false">SUM(W3:W55)</f>
        <v>8</v>
      </c>
      <c r="X56" s="78" t="n">
        <f aca="false">SUM(X3:X55)</f>
        <v>8</v>
      </c>
      <c r="Y56" s="78" t="n">
        <f aca="false">SUM(Y3:Y55)</f>
        <v>8</v>
      </c>
      <c r="Z56" s="78" t="n">
        <f aca="false">SUM(Z3:Z55)</f>
        <v>0</v>
      </c>
      <c r="AA56" s="78" t="n">
        <f aca="false">SUM(AA3:AA55)</f>
        <v>0</v>
      </c>
      <c r="AB56" s="78" t="n">
        <f aca="false">SUM(AB3:AB55)</f>
        <v>0</v>
      </c>
      <c r="AC56" s="78" t="n">
        <f aca="false">SUM(AC3:AC55)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8"/>
    <col collapsed="false" customWidth="true" hidden="false" outlineLevel="0" max="15" min="4" style="0" width="10"/>
    <col collapsed="false" customWidth="true" hidden="false" outlineLevel="0" max="18" min="16" style="0" width="11"/>
    <col collapsed="false" customWidth="true" hidden="false" outlineLevel="0" max="23" min="19" style="0" width="12"/>
    <col collapsed="false" customWidth="true" hidden="false" outlineLevel="0" max="25" min="24" style="0" width="10"/>
    <col collapsed="false" customWidth="true" hidden="false" outlineLevel="0" max="27" min="26" style="0" width="11"/>
    <col collapsed="false" customWidth="true" hidden="false" outlineLevel="0" max="29" min="28" style="0" width="9"/>
    <col collapsed="false" customWidth="true" hidden="false" outlineLevel="0" max="31" min="30" style="0" width="10"/>
    <col collapsed="false" customWidth="true" hidden="false" outlineLevel="0" max="32" min="32" style="0" width="20"/>
    <col collapsed="false" customWidth="true" hidden="false" outlineLevel="0" max="34" min="33" style="0" width="16"/>
  </cols>
  <sheetData>
    <row r="1" customFormat="false" ht="24" hidden="false" customHeight="true" outlineLevel="0" collapsed="false">
      <c r="A1" s="8" t="s">
        <v>636</v>
      </c>
      <c r="C1" s="3" t="s">
        <v>637</v>
      </c>
    </row>
    <row r="2" customFormat="false" ht="57.75" hidden="false" customHeight="true" outlineLevel="0" collapsed="false">
      <c r="A2" s="9" t="s">
        <v>638</v>
      </c>
      <c r="B2" s="9" t="s">
        <v>639</v>
      </c>
      <c r="C2" s="9" t="s">
        <v>640</v>
      </c>
      <c r="D2" s="9" t="s">
        <v>641</v>
      </c>
      <c r="E2" s="9" t="s">
        <v>642</v>
      </c>
      <c r="F2" s="9" t="s">
        <v>643</v>
      </c>
      <c r="G2" s="9" t="s">
        <v>644</v>
      </c>
      <c r="H2" s="9" t="s">
        <v>645</v>
      </c>
      <c r="I2" s="9" t="s">
        <v>646</v>
      </c>
      <c r="J2" s="9" t="s">
        <v>647</v>
      </c>
      <c r="K2" s="9" t="s">
        <v>648</v>
      </c>
      <c r="L2" s="9" t="s">
        <v>649</v>
      </c>
      <c r="M2" s="9" t="s">
        <v>650</v>
      </c>
      <c r="N2" s="9" t="s">
        <v>651</v>
      </c>
      <c r="O2" s="9" t="s">
        <v>652</v>
      </c>
      <c r="P2" s="9" t="s">
        <v>653</v>
      </c>
      <c r="Q2" s="9" t="s">
        <v>654</v>
      </c>
      <c r="R2" s="9" t="s">
        <v>655</v>
      </c>
      <c r="S2" s="9" t="s">
        <v>656</v>
      </c>
      <c r="T2" s="9" t="s">
        <v>657</v>
      </c>
      <c r="U2" s="9" t="s">
        <v>658</v>
      </c>
      <c r="V2" s="9" t="s">
        <v>659</v>
      </c>
      <c r="W2" s="9" t="s">
        <v>660</v>
      </c>
      <c r="X2" s="9" t="s">
        <v>661</v>
      </c>
      <c r="Y2" s="9" t="s">
        <v>662</v>
      </c>
      <c r="Z2" s="9" t="s">
        <v>663</v>
      </c>
      <c r="AA2" s="9" t="s">
        <v>664</v>
      </c>
      <c r="AB2" s="9" t="s">
        <v>665</v>
      </c>
      <c r="AC2" s="9" t="s">
        <v>666</v>
      </c>
      <c r="AD2" s="9" t="s">
        <v>667</v>
      </c>
      <c r="AE2" s="9" t="s">
        <v>668</v>
      </c>
      <c r="AF2" s="9" t="s">
        <v>669</v>
      </c>
      <c r="AG2" s="9" t="s">
        <v>670</v>
      </c>
      <c r="AH2" s="9" t="s">
        <v>671</v>
      </c>
    </row>
    <row r="3" customFormat="false" ht="31.5" hidden="false" customHeight="true" outlineLevel="0" collapsed="false">
      <c r="A3" s="79" t="s">
        <v>604</v>
      </c>
      <c r="B3" s="80" t="s">
        <v>672</v>
      </c>
      <c r="C3" s="81" t="n">
        <f aca="false">SUM(03_Colocation_Calc!T$3:T$55)</f>
        <v>4</v>
      </c>
      <c r="D3" s="82" t="n">
        <f aca="false">SUMPRODUCT(MAX(03_Colocation_Calc!T$3:T$55*03_Colocation_Calc!$F$3:$F$55))</f>
        <v>2</v>
      </c>
      <c r="E3" s="82" t="n">
        <f aca="false">SUMPRODUCT(MAX(03_Colocation_Calc!T$3:T$55*03_Colocation_Calc!$G$3:$G$55))</f>
        <v>4</v>
      </c>
      <c r="F3" s="82" t="n">
        <f aca="false">SUMPRODUCT(03_Colocation_Calc!T$3:T$55,03_Colocation_Calc!$O$3:$O$55,03_Colocation_Calc!$F$3:$F$55)</f>
        <v>5.7</v>
      </c>
      <c r="G3" s="82" t="n">
        <f aca="false">SUMPRODUCT(03_Colocation_Calc!T$3:T$55,03_Colocation_Calc!$O$3:$O$55,03_Colocation_Calc!$G$3:$G$55)</f>
        <v>9.5</v>
      </c>
      <c r="H3" s="82" t="n">
        <f aca="false">SUMPRODUCT(03_Colocation_Calc!T$3:T$55,--(03_Colocation_Calc!$D$3:$D$55="resident"),03_Colocation_Calc!$O$3:$O$55,03_Colocation_Calc!$F$3:$F$55)+SUMPRODUCT(MAX(03_Colocation_Calc!T$3:T$55*--(03_Colocation_Calc!$D$3:$D$55="ci_seq")*03_Colocation_Calc!$O$3:$O$55*03_Colocation_Calc!$F$3:$F$55))+SUMPRODUCT(MAX(03_Colocation_Calc!T$3:T$55*--(03_Colocation_Calc!$D$3:$D$55="async")*03_Colocation_Calc!$O$3:$O$55*03_Colocation_Calc!$F$3:$F$55))+SUMPRODUCT(MAX(03_Colocation_Calc!T$3:T$55*--(03_Colocation_Calc!$D$3:$D$55="load")*03_Colocation_Calc!$O$3:$O$55*03_Colocation_Calc!$F$3:$F$55))</f>
        <v>5.7</v>
      </c>
      <c r="I3" s="82" t="n">
        <f aca="false">SUMPRODUCT(03_Colocation_Calc!T$3:T$55,--(03_Colocation_Calc!$D$3:$D$55="resident"),03_Colocation_Calc!$O$3:$O$55,03_Colocation_Calc!$G$3:$G$55)+SUMPRODUCT(MAX(03_Colocation_Calc!T$3:T$55*--(03_Colocation_Calc!$D$3:$D$55="ci_seq")*03_Colocation_Calc!$O$3:$O$55*03_Colocation_Calc!$G$3:$G$55))+SUMPRODUCT(MAX(03_Colocation_Calc!T$3:T$55*--(03_Colocation_Calc!$D$3:$D$55="async")*03_Colocation_Calc!$O$3:$O$55*03_Colocation_Calc!$G$3:$G$55))+SUMPRODUCT(MAX(03_Colocation_Calc!T$3:T$55*--(03_Colocation_Calc!$D$3:$D$55="load")*03_Colocation_Calc!$O$3:$O$55*03_Colocation_Calc!$G$3:$G$55))</f>
        <v>9.5</v>
      </c>
      <c r="J3" s="82" t="n">
        <f aca="false">SUMPRODUCT(03_Colocation_Calc!T$3:T$55,03_Colocation_Calc!$I$3:$I$55)*0.25</f>
        <v>1</v>
      </c>
      <c r="K3" s="82" t="n">
        <f aca="false">SUMPRODUCT(03_Colocation_Calc!T$3:T$55,03_Colocation_Calc!$I$3:$I$55,03_Colocation_Calc!$H$3:$H$55)</f>
        <v>2.95</v>
      </c>
      <c r="L3" s="82" t="n">
        <f aca="false">MAX(D3,IF(05_Params!$B$3="strict",F3,H3),J3)</f>
        <v>5.7</v>
      </c>
      <c r="M3" s="82" t="n">
        <f aca="false">MAX(E3,IF(05_Params!$B$3="strict",G3,I3),K3)</f>
        <v>9.5</v>
      </c>
      <c r="N3" s="82" t="n">
        <f aca="false">L3+05_Params!$B$5</f>
        <v>6.7</v>
      </c>
      <c r="O3" s="82" t="n">
        <f aca="false">M3+05_Params!$B$6</f>
        <v>11.5</v>
      </c>
      <c r="P3" s="83" t="n">
        <f aca="false">IFERROR(INDEX(05_Params!$E$4:$E$23,COUNTIF(05_Params!$E$4:$E$23,"&lt;"&amp;N3)+1),CEILING(N3,64))</f>
        <v>8</v>
      </c>
      <c r="Q3" s="83" t="n">
        <f aca="false">IFERROR(INDEX(05_Params!$F$4:$F$23,COUNTIF(05_Params!$F$4:$F$23,"&lt;"&amp;O3)+1),CEILING(O3,64))</f>
        <v>12</v>
      </c>
      <c r="R3" s="84" t="n">
        <f aca="false">SUMPRODUCT(03_Colocation_Calc!T$3:T$55,03_Colocation_Calc!$J$3:$J$55)</f>
        <v>50</v>
      </c>
      <c r="S3" s="84" t="n">
        <f aca="false">SUMPRODUCT(03_Colocation_Calc!T$3:T$55,03_Colocation_Calc!$R$3:$R$55)</f>
        <v>315.9859158</v>
      </c>
      <c r="T3" s="84" t="n">
        <f aca="false">(05_Params!$B$7+R3)/(1-05_Params!$B$8)</f>
        <v>93.3333333333333</v>
      </c>
      <c r="U3" s="84" t="n">
        <f aca="false">S3/(1-05_Params!$B$8)</f>
        <v>421.3145544</v>
      </c>
      <c r="V3" s="83" t="n">
        <f aca="false">IFERROR(INDEX(05_Params!$G$4:$G$23,COUNTIF(05_Params!$G$4:$G$23,"&lt;"&amp;T3)+1),CEILING(T3,64))</f>
        <v>100</v>
      </c>
      <c r="W3" s="83" t="n">
        <f aca="false">IF(U3&lt;=0,0,IFERROR(INDEX(05_Params!$G$4:$G$23,COUNTIF(05_Params!$G$4:$G$23,"&lt;"&amp;U3)+1),CEILING(U3,64)))</f>
        <v>500</v>
      </c>
      <c r="X3" s="85"/>
      <c r="Y3" s="85"/>
      <c r="Z3" s="85"/>
      <c r="AA3" s="85"/>
      <c r="AB3" s="84" t="str">
        <f aca="false">IF(X3="","",X3-P3)</f>
        <v/>
      </c>
      <c r="AC3" s="84" t="str">
        <f aca="false">IF(Y3="","",Y3-Q3)</f>
        <v/>
      </c>
      <c r="AD3" s="84" t="str">
        <f aca="false">IF(Z3="","",Z3-V3)</f>
        <v/>
      </c>
      <c r="AE3" s="84" t="str">
        <f aca="false">IF(AA3="","",AA3-W3)</f>
        <v/>
      </c>
      <c r="AF3" s="86" t="str">
        <f aca="false">IF(X3="","(ยังไม่กรอก spec)",IF(OR(AB3&lt;0,AC3&lt;0),"ไม่พอ: CPU/RAM",IF(OR(AD3&lt;0,AE3&lt;0),"เสี่ยง: Disk ไม่พอ","พอเพียง")))</f>
        <v>(ยังไม่กรอก spec)</v>
      </c>
      <c r="AG3" s="81" t="str">
        <f aca="false">IF(L3=D3,"A Peak-Max",IF(L3=J3,"C Resident","B Weighted"))</f>
        <v>B Weighted</v>
      </c>
      <c r="AH3" s="81" t="str">
        <f aca="false">IF(M3=E3,"A Peak-Max",IF(M3=K3,"C Resident","B Weighted"))</f>
        <v>B Weighted</v>
      </c>
    </row>
    <row r="4" customFormat="false" ht="31.5" hidden="false" customHeight="true" outlineLevel="0" collapsed="false">
      <c r="A4" s="79" t="s">
        <v>605</v>
      </c>
      <c r="B4" s="80" t="s">
        <v>673</v>
      </c>
      <c r="C4" s="81" t="n">
        <f aca="false">SUM(03_Colocation_Calc!U$3:U$55)</f>
        <v>6</v>
      </c>
      <c r="D4" s="82" t="n">
        <f aca="false">SUMPRODUCT(MAX(03_Colocation_Calc!U$3:U$55*03_Colocation_Calc!$F$3:$F$55))</f>
        <v>2</v>
      </c>
      <c r="E4" s="82" t="n">
        <f aca="false">SUMPRODUCT(MAX(03_Colocation_Calc!U$3:U$55*03_Colocation_Calc!$G$3:$G$55))</f>
        <v>4</v>
      </c>
      <c r="F4" s="82" t="n">
        <f aca="false">SUMPRODUCT(03_Colocation_Calc!U$3:U$55,03_Colocation_Calc!$O$3:$O$55,03_Colocation_Calc!$F$3:$F$55)</f>
        <v>8.3475</v>
      </c>
      <c r="G4" s="82" t="n">
        <f aca="false">SUMPRODUCT(03_Colocation_Calc!U$3:U$55,03_Colocation_Calc!$O$3:$O$55,03_Colocation_Calc!$G$3:$G$55)</f>
        <v>14.0475</v>
      </c>
      <c r="H4" s="82" t="n">
        <f aca="false">SUMPRODUCT(03_Colocation_Calc!U$3:U$55,--(03_Colocation_Calc!$D$3:$D$55="resident"),03_Colocation_Calc!$O$3:$O$55,03_Colocation_Calc!$F$3:$F$55)+SUMPRODUCT(MAX(03_Colocation_Calc!U$3:U$55*--(03_Colocation_Calc!$D$3:$D$55="ci_seq")*03_Colocation_Calc!$O$3:$O$55*03_Colocation_Calc!$F$3:$F$55))+SUMPRODUCT(MAX(03_Colocation_Calc!U$3:U$55*--(03_Colocation_Calc!$D$3:$D$55="async")*03_Colocation_Calc!$O$3:$O$55*03_Colocation_Calc!$F$3:$F$55))+SUMPRODUCT(MAX(03_Colocation_Calc!U$3:U$55*--(03_Colocation_Calc!$D$3:$D$55="load")*03_Colocation_Calc!$O$3:$O$55*03_Colocation_Calc!$F$3:$F$55))</f>
        <v>8.3475</v>
      </c>
      <c r="I4" s="82" t="n">
        <f aca="false">SUMPRODUCT(03_Colocation_Calc!U$3:U$55,--(03_Colocation_Calc!$D$3:$D$55="resident"),03_Colocation_Calc!$O$3:$O$55,03_Colocation_Calc!$G$3:$G$55)+SUMPRODUCT(MAX(03_Colocation_Calc!U$3:U$55*--(03_Colocation_Calc!$D$3:$D$55="ci_seq")*03_Colocation_Calc!$O$3:$O$55*03_Colocation_Calc!$G$3:$G$55))+SUMPRODUCT(MAX(03_Colocation_Calc!U$3:U$55*--(03_Colocation_Calc!$D$3:$D$55="async")*03_Colocation_Calc!$O$3:$O$55*03_Colocation_Calc!$G$3:$G$55))+SUMPRODUCT(MAX(03_Colocation_Calc!U$3:U$55*--(03_Colocation_Calc!$D$3:$D$55="load")*03_Colocation_Calc!$O$3:$O$55*03_Colocation_Calc!$G$3:$G$55))</f>
        <v>14.0475</v>
      </c>
      <c r="J4" s="82" t="n">
        <f aca="false">SUMPRODUCT(03_Colocation_Calc!U$3:U$55,03_Colocation_Calc!$I$3:$I$55)*0.25</f>
        <v>1.25</v>
      </c>
      <c r="K4" s="82" t="n">
        <f aca="false">SUMPRODUCT(03_Colocation_Calc!U$3:U$55,03_Colocation_Calc!$I$3:$I$55,03_Colocation_Calc!$H$3:$H$55)</f>
        <v>9.15</v>
      </c>
      <c r="L4" s="82" t="n">
        <f aca="false">MAX(D4,IF(05_Params!$B$3="strict",F4,H4),J4)</f>
        <v>8.3475</v>
      </c>
      <c r="M4" s="82" t="n">
        <f aca="false">MAX(E4,IF(05_Params!$B$3="strict",G4,I4),K4)</f>
        <v>14.0475</v>
      </c>
      <c r="N4" s="82" t="n">
        <f aca="false">L4+05_Params!$B$5</f>
        <v>9.3475</v>
      </c>
      <c r="O4" s="82" t="n">
        <f aca="false">M4+05_Params!$B$6</f>
        <v>16.0475</v>
      </c>
      <c r="P4" s="83" t="n">
        <f aca="false">IFERROR(INDEX(05_Params!$E$4:$E$23,COUNTIF(05_Params!$E$4:$E$23,"&lt;"&amp;N4)+1),CEILING(N4,64))</f>
        <v>12</v>
      </c>
      <c r="Q4" s="83" t="n">
        <f aca="false">IFERROR(INDEX(05_Params!$F$4:$F$23,COUNTIF(05_Params!$F$4:$F$23,"&lt;"&amp;O4)+1),CEILING(O4,64))</f>
        <v>24</v>
      </c>
      <c r="R4" s="84" t="n">
        <f aca="false">SUMPRODUCT(03_Colocation_Calc!U$3:U$55,03_Colocation_Calc!$J$3:$J$55)</f>
        <v>90</v>
      </c>
      <c r="S4" s="84" t="n">
        <f aca="false">SUMPRODUCT(03_Colocation_Calc!U$3:U$55,03_Colocation_Calc!$R$3:$R$55)</f>
        <v>303.5810511</v>
      </c>
      <c r="T4" s="84" t="n">
        <f aca="false">(05_Params!$B$7+R4)/(1-05_Params!$B$8)</f>
        <v>146.666666666667</v>
      </c>
      <c r="U4" s="84" t="n">
        <f aca="false">S4/(1-05_Params!$B$8)</f>
        <v>404.7747348</v>
      </c>
      <c r="V4" s="83" t="n">
        <f aca="false">IFERROR(INDEX(05_Params!$G$4:$G$23,COUNTIF(05_Params!$G$4:$G$23,"&lt;"&amp;T4)+1),CEILING(T4,64))</f>
        <v>150</v>
      </c>
      <c r="W4" s="83" t="n">
        <f aca="false">IF(U4&lt;=0,0,IFERROR(INDEX(05_Params!$G$4:$G$23,COUNTIF(05_Params!$G$4:$G$23,"&lt;"&amp;U4)+1),CEILING(U4,64)))</f>
        <v>500</v>
      </c>
      <c r="X4" s="85"/>
      <c r="Y4" s="85"/>
      <c r="Z4" s="85"/>
      <c r="AA4" s="85"/>
      <c r="AB4" s="84" t="str">
        <f aca="false">IF(X4="","",X4-P4)</f>
        <v/>
      </c>
      <c r="AC4" s="84" t="str">
        <f aca="false">IF(Y4="","",Y4-Q4)</f>
        <v/>
      </c>
      <c r="AD4" s="84" t="str">
        <f aca="false">IF(Z4="","",Z4-V4)</f>
        <v/>
      </c>
      <c r="AE4" s="84" t="str">
        <f aca="false">IF(AA4="","",AA4-W4)</f>
        <v/>
      </c>
      <c r="AF4" s="86" t="str">
        <f aca="false">IF(X4="","(ยังไม่กรอก spec)",IF(OR(AB4&lt;0,AC4&lt;0),"ไม่พอ: CPU/RAM",IF(OR(AD4&lt;0,AE4&lt;0),"เสี่ยง: Disk ไม่พอ","พอเพียง")))</f>
        <v>(ยังไม่กรอก spec)</v>
      </c>
      <c r="AG4" s="81" t="str">
        <f aca="false">IF(L4=D4,"A Peak-Max",IF(L4=J4,"C Resident","B Weighted"))</f>
        <v>B Weighted</v>
      </c>
      <c r="AH4" s="81" t="str">
        <f aca="false">IF(M4=E4,"A Peak-Max",IF(M4=K4,"C Resident","B Weighted"))</f>
        <v>B Weighted</v>
      </c>
    </row>
    <row r="5" customFormat="false" ht="31.5" hidden="false" customHeight="true" outlineLevel="0" collapsed="false">
      <c r="A5" s="79" t="s">
        <v>606</v>
      </c>
      <c r="B5" s="80" t="s">
        <v>674</v>
      </c>
      <c r="C5" s="81" t="n">
        <f aca="false">SUM(03_Colocation_Calc!V$3:V$55)</f>
        <v>13</v>
      </c>
      <c r="D5" s="82" t="n">
        <f aca="false">SUMPRODUCT(MAX(03_Colocation_Calc!V$3:V$55*03_Colocation_Calc!$F$3:$F$55))</f>
        <v>4</v>
      </c>
      <c r="E5" s="82" t="n">
        <f aca="false">SUMPRODUCT(MAX(03_Colocation_Calc!V$3:V$55*03_Colocation_Calc!$G$3:$G$55))</f>
        <v>8</v>
      </c>
      <c r="F5" s="82" t="n">
        <f aca="false">SUMPRODUCT(03_Colocation_Calc!V$3:V$55,03_Colocation_Calc!$O$3:$O$55,03_Colocation_Calc!$F$3:$F$55)</f>
        <v>18.4025</v>
      </c>
      <c r="G5" s="82" t="n">
        <f aca="false">SUMPRODUCT(03_Colocation_Calc!V$3:V$55,03_Colocation_Calc!$O$3:$O$55,03_Colocation_Calc!$G$3:$G$55)</f>
        <v>34.27</v>
      </c>
      <c r="H5" s="82" t="n">
        <f aca="false">SUMPRODUCT(03_Colocation_Calc!V$3:V$55,--(03_Colocation_Calc!$D$3:$D$55="resident"),03_Colocation_Calc!$O$3:$O$55,03_Colocation_Calc!$F$3:$F$55)+SUMPRODUCT(MAX(03_Colocation_Calc!V$3:V$55*--(03_Colocation_Calc!$D$3:$D$55="ci_seq")*03_Colocation_Calc!$O$3:$O$55*03_Colocation_Calc!$F$3:$F$55))+SUMPRODUCT(MAX(03_Colocation_Calc!V$3:V$55*--(03_Colocation_Calc!$D$3:$D$55="async")*03_Colocation_Calc!$O$3:$O$55*03_Colocation_Calc!$F$3:$F$55))+SUMPRODUCT(MAX(03_Colocation_Calc!V$3:V$55*--(03_Colocation_Calc!$D$3:$D$55="load")*03_Colocation_Calc!$O$3:$O$55*03_Colocation_Calc!$F$3:$F$55))</f>
        <v>5.84</v>
      </c>
      <c r="I5" s="82" t="n">
        <f aca="false">SUMPRODUCT(03_Colocation_Calc!V$3:V$55,--(03_Colocation_Calc!$D$3:$D$55="resident"),03_Colocation_Calc!$O$3:$O$55,03_Colocation_Calc!$G$3:$G$55)+SUMPRODUCT(MAX(03_Colocation_Calc!V$3:V$55*--(03_Colocation_Calc!$D$3:$D$55="ci_seq")*03_Colocation_Calc!$O$3:$O$55*03_Colocation_Calc!$G$3:$G$55))+SUMPRODUCT(MAX(03_Colocation_Calc!V$3:V$55*--(03_Colocation_Calc!$D$3:$D$55="async")*03_Colocation_Calc!$O$3:$O$55*03_Colocation_Calc!$G$3:$G$55))+SUMPRODUCT(MAX(03_Colocation_Calc!V$3:V$55*--(03_Colocation_Calc!$D$3:$D$55="load")*03_Colocation_Calc!$O$3:$O$55*03_Colocation_Calc!$G$3:$G$55))</f>
        <v>10.73</v>
      </c>
      <c r="J5" s="82" t="n">
        <f aca="false">SUMPRODUCT(03_Colocation_Calc!V$3:V$55,03_Colocation_Calc!$I$3:$I$55)*0.25</f>
        <v>0.5</v>
      </c>
      <c r="K5" s="82" t="n">
        <f aca="false">SUMPRODUCT(03_Colocation_Calc!V$3:V$55,03_Colocation_Calc!$I$3:$I$55,03_Colocation_Calc!$H$3:$H$55)</f>
        <v>0.65</v>
      </c>
      <c r="L5" s="82" t="n">
        <f aca="false">MAX(D5,IF(05_Params!$B$3="strict",F5,H5),J5)</f>
        <v>18.4025</v>
      </c>
      <c r="M5" s="82" t="n">
        <f aca="false">MAX(E5,IF(05_Params!$B$3="strict",G5,I5),K5)</f>
        <v>34.27</v>
      </c>
      <c r="N5" s="82" t="n">
        <f aca="false">L5+05_Params!$B$5</f>
        <v>19.4025</v>
      </c>
      <c r="O5" s="82" t="n">
        <f aca="false">M5+05_Params!$B$6</f>
        <v>36.27</v>
      </c>
      <c r="P5" s="83" t="n">
        <f aca="false">IFERROR(INDEX(05_Params!$E$4:$E$23,COUNTIF(05_Params!$E$4:$E$23,"&lt;"&amp;N5)+1),CEILING(N5,64))</f>
        <v>24</v>
      </c>
      <c r="Q5" s="83" t="n">
        <f aca="false">IFERROR(INDEX(05_Params!$F$4:$F$23,COUNTIF(05_Params!$F$4:$F$23,"&lt;"&amp;O5)+1),CEILING(O5,64))</f>
        <v>48</v>
      </c>
      <c r="R5" s="84" t="n">
        <f aca="false">SUMPRODUCT(03_Colocation_Calc!V$3:V$55,03_Colocation_Calc!$J$3:$J$55)</f>
        <v>301</v>
      </c>
      <c r="S5" s="84" t="n">
        <f aca="false">SUMPRODUCT(03_Colocation_Calc!V$3:V$55,03_Colocation_Calc!$R$3:$R$55)</f>
        <v>227.5178664675</v>
      </c>
      <c r="T5" s="84" t="n">
        <f aca="false">(05_Params!$B$7+R5)/(1-05_Params!$B$8)</f>
        <v>428</v>
      </c>
      <c r="U5" s="84" t="n">
        <f aca="false">S5/(1-05_Params!$B$8)</f>
        <v>303.35715529</v>
      </c>
      <c r="V5" s="83" t="n">
        <f aca="false">IFERROR(INDEX(05_Params!$G$4:$G$23,COUNTIF(05_Params!$G$4:$G$23,"&lt;"&amp;T5)+1),CEILING(T5,64))</f>
        <v>500</v>
      </c>
      <c r="W5" s="83" t="n">
        <f aca="false">IF(U5&lt;=0,0,IFERROR(INDEX(05_Params!$G$4:$G$23,COUNTIF(05_Params!$G$4:$G$23,"&lt;"&amp;U5)+1),CEILING(U5,64)))</f>
        <v>500</v>
      </c>
      <c r="X5" s="85"/>
      <c r="Y5" s="85"/>
      <c r="Z5" s="85"/>
      <c r="AA5" s="85"/>
      <c r="AB5" s="84" t="str">
        <f aca="false">IF(X5="","",X5-P5)</f>
        <v/>
      </c>
      <c r="AC5" s="84" t="str">
        <f aca="false">IF(Y5="","",Y5-Q5)</f>
        <v/>
      </c>
      <c r="AD5" s="84" t="str">
        <f aca="false">IF(Z5="","",Z5-V5)</f>
        <v/>
      </c>
      <c r="AE5" s="84" t="str">
        <f aca="false">IF(AA5="","",AA5-W5)</f>
        <v/>
      </c>
      <c r="AF5" s="86" t="str">
        <f aca="false">IF(X5="","(ยังไม่กรอก spec)",IF(OR(AB5&lt;0,AC5&lt;0),"ไม่พอ: CPU/RAM",IF(OR(AD5&lt;0,AE5&lt;0),"เสี่ยง: Disk ไม่พอ","พอเพียง")))</f>
        <v>(ยังไม่กรอก spec)</v>
      </c>
      <c r="AG5" s="81" t="str">
        <f aca="false">IF(L5=D5,"A Peak-Max",IF(L5=J5,"C Resident","B Weighted"))</f>
        <v>B Weighted</v>
      </c>
      <c r="AH5" s="81" t="str">
        <f aca="false">IF(M5=E5,"A Peak-Max",IF(M5=K5,"C Resident","B Weighted"))</f>
        <v>B Weighted</v>
      </c>
    </row>
    <row r="6" customFormat="false" ht="31.5" hidden="false" customHeight="true" outlineLevel="0" collapsed="false">
      <c r="A6" s="79" t="s">
        <v>607</v>
      </c>
      <c r="B6" s="80" t="s">
        <v>675</v>
      </c>
      <c r="C6" s="81" t="n">
        <f aca="false">SUM(03_Colocation_Calc!W$3:W$55)</f>
        <v>8</v>
      </c>
      <c r="D6" s="82" t="n">
        <f aca="false">SUMPRODUCT(MAX(03_Colocation_Calc!W$3:W$55*03_Colocation_Calc!$F$3:$F$55))</f>
        <v>4</v>
      </c>
      <c r="E6" s="82" t="n">
        <f aca="false">SUMPRODUCT(MAX(03_Colocation_Calc!W$3:W$55*03_Colocation_Calc!$G$3:$G$55))</f>
        <v>8</v>
      </c>
      <c r="F6" s="82" t="n">
        <f aca="false">SUMPRODUCT(03_Colocation_Calc!W$3:W$55,03_Colocation_Calc!$O$3:$O$55,03_Colocation_Calc!$F$3:$F$55)</f>
        <v>10.1825</v>
      </c>
      <c r="G6" s="82" t="n">
        <f aca="false">SUMPRODUCT(03_Colocation_Calc!W$3:W$55,03_Colocation_Calc!$O$3:$O$55,03_Colocation_Calc!$G$3:$G$55)</f>
        <v>18.1</v>
      </c>
      <c r="H6" s="82" t="n">
        <f aca="false">SUMPRODUCT(03_Colocation_Calc!W$3:W$55,--(03_Colocation_Calc!$D$3:$D$55="resident"),03_Colocation_Calc!$O$3:$O$55,03_Colocation_Calc!$F$3:$F$55)+SUMPRODUCT(MAX(03_Colocation_Calc!W$3:W$55*--(03_Colocation_Calc!$D$3:$D$55="ci_seq")*03_Colocation_Calc!$O$3:$O$55*03_Colocation_Calc!$F$3:$F$55))+SUMPRODUCT(MAX(03_Colocation_Calc!W$3:W$55*--(03_Colocation_Calc!$D$3:$D$55="async")*03_Colocation_Calc!$O$3:$O$55*03_Colocation_Calc!$F$3:$F$55))+SUMPRODUCT(MAX(03_Colocation_Calc!W$3:W$55*--(03_Colocation_Calc!$D$3:$D$55="load")*03_Colocation_Calc!$O$3:$O$55*03_Colocation_Calc!$F$3:$F$55))</f>
        <v>4.535</v>
      </c>
      <c r="I6" s="82" t="n">
        <f aca="false">SUMPRODUCT(03_Colocation_Calc!W$3:W$55,--(03_Colocation_Calc!$D$3:$D$55="resident"),03_Colocation_Calc!$O$3:$O$55,03_Colocation_Calc!$G$3:$G$55)+SUMPRODUCT(MAX(03_Colocation_Calc!W$3:W$55*--(03_Colocation_Calc!$D$3:$D$55="ci_seq")*03_Colocation_Calc!$O$3:$O$55*03_Colocation_Calc!$G$3:$G$55))+SUMPRODUCT(MAX(03_Colocation_Calc!W$3:W$55*--(03_Colocation_Calc!$D$3:$D$55="async")*03_Colocation_Calc!$O$3:$O$55*03_Colocation_Calc!$G$3:$G$55))+SUMPRODUCT(MAX(03_Colocation_Calc!W$3:W$55*--(03_Colocation_Calc!$D$3:$D$55="load")*03_Colocation_Calc!$O$3:$O$55*03_Colocation_Calc!$G$3:$G$55))</f>
        <v>8.12</v>
      </c>
      <c r="J6" s="82" t="n">
        <f aca="false">SUMPRODUCT(03_Colocation_Calc!W$3:W$55,03_Colocation_Calc!$I$3:$I$55)*0.25</f>
        <v>0.25</v>
      </c>
      <c r="K6" s="82" t="n">
        <f aca="false">SUMPRODUCT(03_Colocation_Calc!W$3:W$55,03_Colocation_Calc!$I$3:$I$55,03_Colocation_Calc!$H$3:$H$55)</f>
        <v>0.15</v>
      </c>
      <c r="L6" s="82" t="n">
        <f aca="false">MAX(D6,IF(05_Params!$B$3="strict",F6,H6),J6)</f>
        <v>10.1825</v>
      </c>
      <c r="M6" s="82" t="n">
        <f aca="false">MAX(E6,IF(05_Params!$B$3="strict",G6,I6),K6)</f>
        <v>18.1</v>
      </c>
      <c r="N6" s="82" t="n">
        <f aca="false">L6+05_Params!$B$5</f>
        <v>11.1825</v>
      </c>
      <c r="O6" s="82" t="n">
        <f aca="false">M6+05_Params!$B$6</f>
        <v>20.1</v>
      </c>
      <c r="P6" s="83" t="n">
        <f aca="false">IFERROR(INDEX(05_Params!$E$4:$E$23,COUNTIF(05_Params!$E$4:$E$23,"&lt;"&amp;N6)+1),CEILING(N6,64))</f>
        <v>12</v>
      </c>
      <c r="Q6" s="83" t="n">
        <f aca="false">IFERROR(INDEX(05_Params!$F$4:$F$23,COUNTIF(05_Params!$F$4:$F$23,"&lt;"&amp;O6)+1),CEILING(O6,64))</f>
        <v>24</v>
      </c>
      <c r="R6" s="84" t="n">
        <f aca="false">SUMPRODUCT(03_Colocation_Calc!W$3:W$55,03_Colocation_Calc!$J$3:$J$55)</f>
        <v>105</v>
      </c>
      <c r="S6" s="84" t="n">
        <f aca="false">SUMPRODUCT(03_Colocation_Calc!W$3:W$55,03_Colocation_Calc!$R$3:$R$55)</f>
        <v>365.3197844375</v>
      </c>
      <c r="T6" s="84" t="n">
        <f aca="false">(05_Params!$B$7+R6)/(1-05_Params!$B$8)</f>
        <v>166.666666666667</v>
      </c>
      <c r="U6" s="84" t="n">
        <f aca="false">S6/(1-05_Params!$B$8)</f>
        <v>487.093045916667</v>
      </c>
      <c r="V6" s="83" t="n">
        <f aca="false">IFERROR(INDEX(05_Params!$G$4:$G$23,COUNTIF(05_Params!$G$4:$G$23,"&lt;"&amp;T6)+1),CEILING(T6,64))</f>
        <v>200</v>
      </c>
      <c r="W6" s="83" t="n">
        <f aca="false">IF(U6&lt;=0,0,IFERROR(INDEX(05_Params!$G$4:$G$23,COUNTIF(05_Params!$G$4:$G$23,"&lt;"&amp;U6)+1),CEILING(U6,64)))</f>
        <v>500</v>
      </c>
      <c r="X6" s="85"/>
      <c r="Y6" s="85"/>
      <c r="Z6" s="85"/>
      <c r="AA6" s="85"/>
      <c r="AB6" s="84" t="str">
        <f aca="false">IF(X6="","",X6-P6)</f>
        <v/>
      </c>
      <c r="AC6" s="84" t="str">
        <f aca="false">IF(Y6="","",Y6-Q6)</f>
        <v/>
      </c>
      <c r="AD6" s="84" t="str">
        <f aca="false">IF(Z6="","",Z6-V6)</f>
        <v/>
      </c>
      <c r="AE6" s="84" t="str">
        <f aca="false">IF(AA6="","",AA6-W6)</f>
        <v/>
      </c>
      <c r="AF6" s="86" t="str">
        <f aca="false">IF(X6="","(ยังไม่กรอก spec)",IF(OR(AB6&lt;0,AC6&lt;0),"ไม่พอ: CPU/RAM",IF(OR(AD6&lt;0,AE6&lt;0),"เสี่ยง: Disk ไม่พอ","พอเพียง")))</f>
        <v>(ยังไม่กรอก spec)</v>
      </c>
      <c r="AG6" s="81" t="str">
        <f aca="false">IF(L6=D6,"A Peak-Max",IF(L6=J6,"C Resident","B Weighted"))</f>
        <v>B Weighted</v>
      </c>
      <c r="AH6" s="81" t="str">
        <f aca="false">IF(M6=E6,"A Peak-Max",IF(M6=K6,"C Resident","B Weighted"))</f>
        <v>B Weighted</v>
      </c>
    </row>
    <row r="7" customFormat="false" ht="31.5" hidden="false" customHeight="true" outlineLevel="0" collapsed="false">
      <c r="A7" s="79" t="s">
        <v>608</v>
      </c>
      <c r="B7" s="80" t="s">
        <v>676</v>
      </c>
      <c r="C7" s="81" t="n">
        <f aca="false">SUM(03_Colocation_Calc!X$3:X$55)</f>
        <v>8</v>
      </c>
      <c r="D7" s="82" t="n">
        <f aca="false">SUMPRODUCT(MAX(03_Colocation_Calc!X$3:X$55*03_Colocation_Calc!$F$3:$F$55))</f>
        <v>2</v>
      </c>
      <c r="E7" s="82" t="n">
        <f aca="false">SUMPRODUCT(MAX(03_Colocation_Calc!X$3:X$55*03_Colocation_Calc!$G$3:$G$55))</f>
        <v>4</v>
      </c>
      <c r="F7" s="82" t="n">
        <f aca="false">SUMPRODUCT(03_Colocation_Calc!X$3:X$55,03_Colocation_Calc!$O$3:$O$55,03_Colocation_Calc!$F$3:$F$55)</f>
        <v>12.35</v>
      </c>
      <c r="G7" s="82" t="n">
        <f aca="false">SUMPRODUCT(03_Colocation_Calc!X$3:X$55,03_Colocation_Calc!$O$3:$O$55,03_Colocation_Calc!$G$3:$G$55)</f>
        <v>23.75</v>
      </c>
      <c r="H7" s="82" t="n">
        <f aca="false">SUMPRODUCT(03_Colocation_Calc!X$3:X$55,--(03_Colocation_Calc!$D$3:$D$55="resident"),03_Colocation_Calc!$O$3:$O$55,03_Colocation_Calc!$F$3:$F$55)+SUMPRODUCT(MAX(03_Colocation_Calc!X$3:X$55*--(03_Colocation_Calc!$D$3:$D$55="ci_seq")*03_Colocation_Calc!$O$3:$O$55*03_Colocation_Calc!$F$3:$F$55))+SUMPRODUCT(MAX(03_Colocation_Calc!X$3:X$55*--(03_Colocation_Calc!$D$3:$D$55="async")*03_Colocation_Calc!$O$3:$O$55*03_Colocation_Calc!$F$3:$F$55))+SUMPRODUCT(MAX(03_Colocation_Calc!X$3:X$55*--(03_Colocation_Calc!$D$3:$D$55="load")*03_Colocation_Calc!$O$3:$O$55*03_Colocation_Calc!$F$3:$F$55))</f>
        <v>12.35</v>
      </c>
      <c r="I7" s="82" t="n">
        <f aca="false">SUMPRODUCT(03_Colocation_Calc!X$3:X$55,--(03_Colocation_Calc!$D$3:$D$55="resident"),03_Colocation_Calc!$O$3:$O$55,03_Colocation_Calc!$G$3:$G$55)+SUMPRODUCT(MAX(03_Colocation_Calc!X$3:X$55*--(03_Colocation_Calc!$D$3:$D$55="ci_seq")*03_Colocation_Calc!$O$3:$O$55*03_Colocation_Calc!$G$3:$G$55))+SUMPRODUCT(MAX(03_Colocation_Calc!X$3:X$55*--(03_Colocation_Calc!$D$3:$D$55="async")*03_Colocation_Calc!$O$3:$O$55*03_Colocation_Calc!$G$3:$G$55))+SUMPRODUCT(MAX(03_Colocation_Calc!X$3:X$55*--(03_Colocation_Calc!$D$3:$D$55="load")*03_Colocation_Calc!$O$3:$O$55*03_Colocation_Calc!$G$3:$G$55))</f>
        <v>23.75</v>
      </c>
      <c r="J7" s="82" t="n">
        <f aca="false">SUMPRODUCT(03_Colocation_Calc!X$3:X$55,03_Colocation_Calc!$I$3:$I$55)*0.25</f>
        <v>2</v>
      </c>
      <c r="K7" s="82" t="n">
        <f aca="false">SUMPRODUCT(03_Colocation_Calc!X$3:X$55,03_Colocation_Calc!$I$3:$I$55,03_Colocation_Calc!$H$3:$H$55)</f>
        <v>12.85</v>
      </c>
      <c r="L7" s="82" t="n">
        <f aca="false">MAX(D7,IF(05_Params!$B$3="strict",F7,H7),J7)</f>
        <v>12.35</v>
      </c>
      <c r="M7" s="82" t="n">
        <f aca="false">MAX(E7,IF(05_Params!$B$3="strict",G7,I7),K7)</f>
        <v>23.75</v>
      </c>
      <c r="N7" s="82" t="n">
        <f aca="false">L7+05_Params!$B$5</f>
        <v>13.35</v>
      </c>
      <c r="O7" s="82" t="n">
        <f aca="false">M7+05_Params!$B$6</f>
        <v>25.75</v>
      </c>
      <c r="P7" s="83" t="n">
        <f aca="false">IFERROR(INDEX(05_Params!$E$4:$E$23,COUNTIF(05_Params!$E$4:$E$23,"&lt;"&amp;N7)+1),CEILING(N7,64))</f>
        <v>16</v>
      </c>
      <c r="Q7" s="83" t="n">
        <f aca="false">IFERROR(INDEX(05_Params!$F$4:$F$23,COUNTIF(05_Params!$F$4:$F$23,"&lt;"&amp;O7)+1),CEILING(O7,64))</f>
        <v>32</v>
      </c>
      <c r="R7" s="84" t="n">
        <f aca="false">SUMPRODUCT(03_Colocation_Calc!X$3:X$55,03_Colocation_Calc!$J$3:$J$55)</f>
        <v>180</v>
      </c>
      <c r="S7" s="84" t="n">
        <f aca="false">SUMPRODUCT(03_Colocation_Calc!X$3:X$55,03_Colocation_Calc!$R$3:$R$55)</f>
        <v>1363.634136675</v>
      </c>
      <c r="T7" s="84" t="n">
        <f aca="false">(05_Params!$B$7+R7)/(1-05_Params!$B$8)</f>
        <v>266.666666666667</v>
      </c>
      <c r="U7" s="84" t="n">
        <f aca="false">S7/(1-05_Params!$B$8)</f>
        <v>1818.1788489</v>
      </c>
      <c r="V7" s="83" t="n">
        <f aca="false">IFERROR(INDEX(05_Params!$G$4:$G$23,COUNTIF(05_Params!$G$4:$G$23,"&lt;"&amp;T7)+1),CEILING(T7,64))</f>
        <v>300</v>
      </c>
      <c r="W7" s="83" t="n">
        <f aca="false">IF(U7&lt;=0,0,IFERROR(INDEX(05_Params!$G$4:$G$23,COUNTIF(05_Params!$G$4:$G$23,"&lt;"&amp;U7)+1),CEILING(U7,64)))</f>
        <v>2000</v>
      </c>
      <c r="X7" s="85"/>
      <c r="Y7" s="85"/>
      <c r="Z7" s="85"/>
      <c r="AA7" s="85"/>
      <c r="AB7" s="84" t="str">
        <f aca="false">IF(X7="","",X7-P7)</f>
        <v/>
      </c>
      <c r="AC7" s="84" t="str">
        <f aca="false">IF(Y7="","",Y7-Q7)</f>
        <v/>
      </c>
      <c r="AD7" s="84" t="str">
        <f aca="false">IF(Z7="","",Z7-V7)</f>
        <v/>
      </c>
      <c r="AE7" s="84" t="str">
        <f aca="false">IF(AA7="","",AA7-W7)</f>
        <v/>
      </c>
      <c r="AF7" s="86" t="str">
        <f aca="false">IF(X7="","(ยังไม่กรอก spec)",IF(OR(AB7&lt;0,AC7&lt;0),"ไม่พอ: CPU/RAM",IF(OR(AD7&lt;0,AE7&lt;0),"เสี่ยง: Disk ไม่พอ","พอเพียง")))</f>
        <v>(ยังไม่กรอก spec)</v>
      </c>
      <c r="AG7" s="81" t="str">
        <f aca="false">IF(L7=D7,"A Peak-Max",IF(L7=J7,"C Resident","B Weighted"))</f>
        <v>B Weighted</v>
      </c>
      <c r="AH7" s="81" t="str">
        <f aca="false">IF(M7=E7,"A Peak-Max",IF(M7=K7,"C Resident","B Weighted"))</f>
        <v>B Weighted</v>
      </c>
    </row>
    <row r="8" customFormat="false" ht="31.5" hidden="false" customHeight="true" outlineLevel="0" collapsed="false">
      <c r="A8" s="79" t="s">
        <v>609</v>
      </c>
      <c r="B8" s="80" t="s">
        <v>677</v>
      </c>
      <c r="C8" s="81" t="n">
        <f aca="false">SUM(03_Colocation_Calc!Y$3:Y$55)</f>
        <v>8</v>
      </c>
      <c r="D8" s="82" t="n">
        <f aca="false">SUMPRODUCT(MAX(03_Colocation_Calc!Y$3:Y$55*03_Colocation_Calc!$F$3:$F$55))</f>
        <v>2</v>
      </c>
      <c r="E8" s="82" t="n">
        <f aca="false">SUMPRODUCT(MAX(03_Colocation_Calc!Y$3:Y$55*03_Colocation_Calc!$G$3:$G$55))</f>
        <v>4</v>
      </c>
      <c r="F8" s="82" t="n">
        <f aca="false">SUMPRODUCT(03_Colocation_Calc!Y$3:Y$55,03_Colocation_Calc!$O$3:$O$55,03_Colocation_Calc!$F$3:$F$55)</f>
        <v>9.865</v>
      </c>
      <c r="G8" s="82" t="n">
        <f aca="false">SUMPRODUCT(03_Colocation_Calc!Y$3:Y$55,03_Colocation_Calc!$O$3:$O$55,03_Colocation_Calc!$G$3:$G$55)</f>
        <v>18.78</v>
      </c>
      <c r="H8" s="82" t="n">
        <f aca="false">SUMPRODUCT(03_Colocation_Calc!Y$3:Y$55,--(03_Colocation_Calc!$D$3:$D$55="resident"),03_Colocation_Calc!$O$3:$O$55,03_Colocation_Calc!$F$3:$F$55)+SUMPRODUCT(MAX(03_Colocation_Calc!Y$3:Y$55*--(03_Colocation_Calc!$D$3:$D$55="ci_seq")*03_Colocation_Calc!$O$3:$O$55*03_Colocation_Calc!$F$3:$F$55))+SUMPRODUCT(MAX(03_Colocation_Calc!Y$3:Y$55*--(03_Colocation_Calc!$D$3:$D$55="async")*03_Colocation_Calc!$O$3:$O$55*03_Colocation_Calc!$F$3:$F$55))+SUMPRODUCT(MAX(03_Colocation_Calc!Y$3:Y$55*--(03_Colocation_Calc!$D$3:$D$55="load")*03_Colocation_Calc!$O$3:$O$55*03_Colocation_Calc!$F$3:$F$55))</f>
        <v>9.2075</v>
      </c>
      <c r="I8" s="82" t="n">
        <f aca="false">SUMPRODUCT(03_Colocation_Calc!Y$3:Y$55,--(03_Colocation_Calc!$D$3:$D$55="resident"),03_Colocation_Calc!$O$3:$O$55,03_Colocation_Calc!$G$3:$G$55)+SUMPRODUCT(MAX(03_Colocation_Calc!Y$3:Y$55*--(03_Colocation_Calc!$D$3:$D$55="ci_seq")*03_Colocation_Calc!$O$3:$O$55*03_Colocation_Calc!$G$3:$G$55))+SUMPRODUCT(MAX(03_Colocation_Calc!Y$3:Y$55*--(03_Colocation_Calc!$D$3:$D$55="async")*03_Colocation_Calc!$O$3:$O$55*03_Colocation_Calc!$G$3:$G$55))+SUMPRODUCT(MAX(03_Colocation_Calc!Y$3:Y$55*--(03_Colocation_Calc!$D$3:$D$55="load")*03_Colocation_Calc!$O$3:$O$55*03_Colocation_Calc!$G$3:$G$55))</f>
        <v>17.465</v>
      </c>
      <c r="J8" s="82" t="n">
        <f aca="false">SUMPRODUCT(03_Colocation_Calc!Y$3:Y$55,03_Colocation_Calc!$I$3:$I$55)*0.25</f>
        <v>1.5</v>
      </c>
      <c r="K8" s="82" t="n">
        <f aca="false">SUMPRODUCT(03_Colocation_Calc!Y$3:Y$55,03_Colocation_Calc!$I$3:$I$55,03_Colocation_Calc!$H$3:$H$55)</f>
        <v>8.55</v>
      </c>
      <c r="L8" s="82" t="n">
        <f aca="false">MAX(D8,IF(05_Params!$B$3="strict",F8,H8),J8)</f>
        <v>9.865</v>
      </c>
      <c r="M8" s="82" t="n">
        <f aca="false">MAX(E8,IF(05_Params!$B$3="strict",G8,I8),K8)</f>
        <v>18.78</v>
      </c>
      <c r="N8" s="82" t="n">
        <f aca="false">L8+05_Params!$B$5</f>
        <v>10.865</v>
      </c>
      <c r="O8" s="82" t="n">
        <f aca="false">M8+05_Params!$B$6</f>
        <v>20.78</v>
      </c>
      <c r="P8" s="83" t="n">
        <f aca="false">IFERROR(INDEX(05_Params!$E$4:$E$23,COUNTIF(05_Params!$E$4:$E$23,"&lt;"&amp;N8)+1),CEILING(N8,64))</f>
        <v>12</v>
      </c>
      <c r="Q8" s="83" t="n">
        <f aca="false">IFERROR(INDEX(05_Params!$F$4:$F$23,COUNTIF(05_Params!$F$4:$F$23,"&lt;"&amp;O8)+1),CEILING(O8,64))</f>
        <v>24</v>
      </c>
      <c r="R8" s="84" t="n">
        <f aca="false">SUMPRODUCT(03_Colocation_Calc!Y$3:Y$55,03_Colocation_Calc!$J$3:$J$55)</f>
        <v>160</v>
      </c>
      <c r="S8" s="84" t="n">
        <f aca="false">SUMPRODUCT(03_Colocation_Calc!Y$3:Y$55,03_Colocation_Calc!$R$3:$R$55)</f>
        <v>763.58489475</v>
      </c>
      <c r="T8" s="84" t="n">
        <f aca="false">(05_Params!$B$7+R8)/(1-05_Params!$B$8)</f>
        <v>240</v>
      </c>
      <c r="U8" s="84" t="n">
        <f aca="false">S8/(1-05_Params!$B$8)</f>
        <v>1018.113193</v>
      </c>
      <c r="V8" s="83" t="n">
        <f aca="false">IFERROR(INDEX(05_Params!$G$4:$G$23,COUNTIF(05_Params!$G$4:$G$23,"&lt;"&amp;T8)+1),CEILING(T8,64))</f>
        <v>300</v>
      </c>
      <c r="W8" s="83" t="n">
        <f aca="false">IF(U8&lt;=0,0,IFERROR(INDEX(05_Params!$G$4:$G$23,COUNTIF(05_Params!$G$4:$G$23,"&lt;"&amp;U8)+1),CEILING(U8,64)))</f>
        <v>1500</v>
      </c>
      <c r="X8" s="85"/>
      <c r="Y8" s="85"/>
      <c r="Z8" s="85"/>
      <c r="AA8" s="85"/>
      <c r="AB8" s="84" t="str">
        <f aca="false">IF(X8="","",X8-P8)</f>
        <v/>
      </c>
      <c r="AC8" s="84" t="str">
        <f aca="false">IF(Y8="","",Y8-Q8)</f>
        <v/>
      </c>
      <c r="AD8" s="84" t="str">
        <f aca="false">IF(Z8="","",Z8-V8)</f>
        <v/>
      </c>
      <c r="AE8" s="84" t="str">
        <f aca="false">IF(AA8="","",AA8-W8)</f>
        <v/>
      </c>
      <c r="AF8" s="86" t="str">
        <f aca="false">IF(X8="","(ยังไม่กรอก spec)",IF(OR(AB8&lt;0,AC8&lt;0),"ไม่พอ: CPU/RAM",IF(OR(AD8&lt;0,AE8&lt;0),"เสี่ยง: Disk ไม่พอ","พอเพียง")))</f>
        <v>(ยังไม่กรอก spec)</v>
      </c>
      <c r="AG8" s="81" t="str">
        <f aca="false">IF(L8=D8,"A Peak-Max",IF(L8=J8,"C Resident","B Weighted"))</f>
        <v>B Weighted</v>
      </c>
      <c r="AH8" s="81" t="str">
        <f aca="false">IF(M8=E8,"A Peak-Max",IF(M8=K8,"C Resident","B Weighted"))</f>
        <v>B Weighted</v>
      </c>
    </row>
    <row r="9" customFormat="false" ht="31.5" hidden="false" customHeight="true" outlineLevel="0" collapsed="false">
      <c r="A9" s="79" t="s">
        <v>631</v>
      </c>
      <c r="B9" s="80" t="s">
        <v>678</v>
      </c>
      <c r="C9" s="81" t="n">
        <f aca="false">SUM(03_Colocation_Calc!Z$3:Z$55)</f>
        <v>0</v>
      </c>
      <c r="D9" s="82" t="n">
        <f aca="false">SUMPRODUCT(MAX(03_Colocation_Calc!Z$3:Z$55*03_Colocation_Calc!$F$3:$F$55))</f>
        <v>0</v>
      </c>
      <c r="E9" s="82" t="n">
        <f aca="false">SUMPRODUCT(MAX(03_Colocation_Calc!Z$3:Z$55*03_Colocation_Calc!$G$3:$G$55))</f>
        <v>0</v>
      </c>
      <c r="F9" s="82" t="n">
        <f aca="false">SUMPRODUCT(03_Colocation_Calc!Z$3:Z$55,03_Colocation_Calc!$O$3:$O$55,03_Colocation_Calc!$F$3:$F$55)</f>
        <v>0</v>
      </c>
      <c r="G9" s="82" t="n">
        <f aca="false">SUMPRODUCT(03_Colocation_Calc!Z$3:Z$55,03_Colocation_Calc!$O$3:$O$55,03_Colocation_Calc!$G$3:$G$55)</f>
        <v>0</v>
      </c>
      <c r="H9" s="82" t="n">
        <f aca="false">SUMPRODUCT(03_Colocation_Calc!Z$3:Z$55,--(03_Colocation_Calc!$D$3:$D$55="resident"),03_Colocation_Calc!$O$3:$O$55,03_Colocation_Calc!$F$3:$F$55)+SUMPRODUCT(MAX(03_Colocation_Calc!Z$3:Z$55*--(03_Colocation_Calc!$D$3:$D$55="ci_seq")*03_Colocation_Calc!$O$3:$O$55*03_Colocation_Calc!$F$3:$F$55))+SUMPRODUCT(MAX(03_Colocation_Calc!Z$3:Z$55*--(03_Colocation_Calc!$D$3:$D$55="async")*03_Colocation_Calc!$O$3:$O$55*03_Colocation_Calc!$F$3:$F$55))+SUMPRODUCT(MAX(03_Colocation_Calc!Z$3:Z$55*--(03_Colocation_Calc!$D$3:$D$55="load")*03_Colocation_Calc!$O$3:$O$55*03_Colocation_Calc!$F$3:$F$55))</f>
        <v>0</v>
      </c>
      <c r="I9" s="82" t="n">
        <f aca="false">SUMPRODUCT(03_Colocation_Calc!Z$3:Z$55,--(03_Colocation_Calc!$D$3:$D$55="resident"),03_Colocation_Calc!$O$3:$O$55,03_Colocation_Calc!$G$3:$G$55)+SUMPRODUCT(MAX(03_Colocation_Calc!Z$3:Z$55*--(03_Colocation_Calc!$D$3:$D$55="ci_seq")*03_Colocation_Calc!$O$3:$O$55*03_Colocation_Calc!$G$3:$G$55))+SUMPRODUCT(MAX(03_Colocation_Calc!Z$3:Z$55*--(03_Colocation_Calc!$D$3:$D$55="async")*03_Colocation_Calc!$O$3:$O$55*03_Colocation_Calc!$G$3:$G$55))+SUMPRODUCT(MAX(03_Colocation_Calc!Z$3:Z$55*--(03_Colocation_Calc!$D$3:$D$55="load")*03_Colocation_Calc!$O$3:$O$55*03_Colocation_Calc!$G$3:$G$55))</f>
        <v>0</v>
      </c>
      <c r="J9" s="82" t="n">
        <f aca="false">SUMPRODUCT(03_Colocation_Calc!Z$3:Z$55,03_Colocation_Calc!$I$3:$I$55)*0.25</f>
        <v>0</v>
      </c>
      <c r="K9" s="82" t="n">
        <f aca="false">SUMPRODUCT(03_Colocation_Calc!Z$3:Z$55,03_Colocation_Calc!$I$3:$I$55,03_Colocation_Calc!$H$3:$H$55)</f>
        <v>0</v>
      </c>
      <c r="L9" s="82" t="n">
        <f aca="false">MAX(D9,IF(05_Params!$B$3="strict",F9,H9),J9)</f>
        <v>0</v>
      </c>
      <c r="M9" s="82" t="n">
        <f aca="false">MAX(E9,IF(05_Params!$B$3="strict",G9,I9),K9)</f>
        <v>0</v>
      </c>
      <c r="N9" s="82" t="n">
        <f aca="false">L9+05_Params!$B$5</f>
        <v>1</v>
      </c>
      <c r="O9" s="82" t="n">
        <f aca="false">M9+05_Params!$B$6</f>
        <v>2</v>
      </c>
      <c r="P9" s="83" t="n">
        <f aca="false">IFERROR(INDEX(05_Params!$E$4:$E$23,COUNTIF(05_Params!$E$4:$E$23,"&lt;"&amp;N9)+1),CEILING(N9,64))</f>
        <v>2</v>
      </c>
      <c r="Q9" s="83" t="n">
        <f aca="false">IFERROR(INDEX(05_Params!$F$4:$F$23,COUNTIF(05_Params!$F$4:$F$23,"&lt;"&amp;O9)+1),CEILING(O9,64))</f>
        <v>2</v>
      </c>
      <c r="R9" s="84" t="n">
        <f aca="false">SUMPRODUCT(03_Colocation_Calc!Z$3:Z$55,03_Colocation_Calc!$J$3:$J$55)</f>
        <v>0</v>
      </c>
      <c r="S9" s="84" t="n">
        <f aca="false">SUMPRODUCT(03_Colocation_Calc!Z$3:Z$55,03_Colocation_Calc!$R$3:$R$55)</f>
        <v>0</v>
      </c>
      <c r="T9" s="84" t="n">
        <f aca="false">(05_Params!$B$7+R9)/(1-05_Params!$B$8)</f>
        <v>26.6666666666667</v>
      </c>
      <c r="U9" s="84" t="n">
        <f aca="false">S9/(1-05_Params!$B$8)</f>
        <v>0</v>
      </c>
      <c r="V9" s="83" t="n">
        <f aca="false">IFERROR(INDEX(05_Params!$G$4:$G$23,COUNTIF(05_Params!$G$4:$G$23,"&lt;"&amp;T9)+1),CEILING(T9,64))</f>
        <v>40</v>
      </c>
      <c r="W9" s="83" t="n">
        <f aca="false">IF(U9&lt;=0,0,IFERROR(INDEX(05_Params!$G$4:$G$23,COUNTIF(05_Params!$G$4:$G$23,"&lt;"&amp;U9)+1),CEILING(U9,64)))</f>
        <v>0</v>
      </c>
      <c r="X9" s="85"/>
      <c r="Y9" s="85"/>
      <c r="Z9" s="85"/>
      <c r="AA9" s="85"/>
      <c r="AB9" s="84" t="str">
        <f aca="false">IF(X9="","",X9-P9)</f>
        <v/>
      </c>
      <c r="AC9" s="84" t="str">
        <f aca="false">IF(Y9="","",Y9-Q9)</f>
        <v/>
      </c>
      <c r="AD9" s="84" t="str">
        <f aca="false">IF(Z9="","",Z9-V9)</f>
        <v/>
      </c>
      <c r="AE9" s="84" t="str">
        <f aca="false">IF(AA9="","",AA9-W9)</f>
        <v/>
      </c>
      <c r="AF9" s="86" t="str">
        <f aca="false">IF(X9="","(ยังไม่กรอก spec)",IF(OR(AB9&lt;0,AC9&lt;0),"ไม่พอ: CPU/RAM",IF(OR(AD9&lt;0,AE9&lt;0),"เสี่ยง: Disk ไม่พอ","พอเพียง")))</f>
        <v>(ยังไม่กรอก spec)</v>
      </c>
      <c r="AG9" s="81" t="str">
        <f aca="false">IF(L9=D9,"A Peak-Max",IF(L9=J9,"C Resident","B Weighted"))</f>
        <v>A Peak-Max</v>
      </c>
      <c r="AH9" s="81" t="str">
        <f aca="false">IF(M9=E9,"A Peak-Max",IF(M9=K9,"C Resident","B Weighted"))</f>
        <v>A Peak-Max</v>
      </c>
    </row>
    <row r="10" customFormat="false" ht="31.5" hidden="false" customHeight="true" outlineLevel="0" collapsed="false">
      <c r="A10" s="79" t="s">
        <v>632</v>
      </c>
      <c r="B10" s="80" t="s">
        <v>678</v>
      </c>
      <c r="C10" s="81" t="n">
        <f aca="false">SUM(03_Colocation_Calc!AA$3:AA$55)</f>
        <v>0</v>
      </c>
      <c r="D10" s="82" t="n">
        <f aca="false">SUMPRODUCT(MAX(03_Colocation_Calc!AA$3:AA$55*03_Colocation_Calc!$F$3:$F$55))</f>
        <v>0</v>
      </c>
      <c r="E10" s="82" t="n">
        <f aca="false">SUMPRODUCT(MAX(03_Colocation_Calc!AA$3:AA$55*03_Colocation_Calc!$G$3:$G$55))</f>
        <v>0</v>
      </c>
      <c r="F10" s="82" t="n">
        <f aca="false">SUMPRODUCT(03_Colocation_Calc!AA$3:AA$55,03_Colocation_Calc!$O$3:$O$55,03_Colocation_Calc!$F$3:$F$55)</f>
        <v>0</v>
      </c>
      <c r="G10" s="82" t="n">
        <f aca="false">SUMPRODUCT(03_Colocation_Calc!AA$3:AA$55,03_Colocation_Calc!$O$3:$O$55,03_Colocation_Calc!$G$3:$G$55)</f>
        <v>0</v>
      </c>
      <c r="H10" s="82" t="n">
        <f aca="false">SUMPRODUCT(03_Colocation_Calc!AA$3:AA$55,--(03_Colocation_Calc!$D$3:$D$55="resident"),03_Colocation_Calc!$O$3:$O$55,03_Colocation_Calc!$F$3:$F$55)+SUMPRODUCT(MAX(03_Colocation_Calc!AA$3:AA$55*--(03_Colocation_Calc!$D$3:$D$55="ci_seq")*03_Colocation_Calc!$O$3:$O$55*03_Colocation_Calc!$F$3:$F$55))+SUMPRODUCT(MAX(03_Colocation_Calc!AA$3:AA$55*--(03_Colocation_Calc!$D$3:$D$55="async")*03_Colocation_Calc!$O$3:$O$55*03_Colocation_Calc!$F$3:$F$55))+SUMPRODUCT(MAX(03_Colocation_Calc!AA$3:AA$55*--(03_Colocation_Calc!$D$3:$D$55="load")*03_Colocation_Calc!$O$3:$O$55*03_Colocation_Calc!$F$3:$F$55))</f>
        <v>0</v>
      </c>
      <c r="I10" s="82" t="n">
        <f aca="false">SUMPRODUCT(03_Colocation_Calc!AA$3:AA$55,--(03_Colocation_Calc!$D$3:$D$55="resident"),03_Colocation_Calc!$O$3:$O$55,03_Colocation_Calc!$G$3:$G$55)+SUMPRODUCT(MAX(03_Colocation_Calc!AA$3:AA$55*--(03_Colocation_Calc!$D$3:$D$55="ci_seq")*03_Colocation_Calc!$O$3:$O$55*03_Colocation_Calc!$G$3:$G$55))+SUMPRODUCT(MAX(03_Colocation_Calc!AA$3:AA$55*--(03_Colocation_Calc!$D$3:$D$55="async")*03_Colocation_Calc!$O$3:$O$55*03_Colocation_Calc!$G$3:$G$55))+SUMPRODUCT(MAX(03_Colocation_Calc!AA$3:AA$55*--(03_Colocation_Calc!$D$3:$D$55="load")*03_Colocation_Calc!$O$3:$O$55*03_Colocation_Calc!$G$3:$G$55))</f>
        <v>0</v>
      </c>
      <c r="J10" s="82" t="n">
        <f aca="false">SUMPRODUCT(03_Colocation_Calc!AA$3:AA$55,03_Colocation_Calc!$I$3:$I$55)*0.25</f>
        <v>0</v>
      </c>
      <c r="K10" s="82" t="n">
        <f aca="false">SUMPRODUCT(03_Colocation_Calc!AA$3:AA$55,03_Colocation_Calc!$I$3:$I$55,03_Colocation_Calc!$H$3:$H$55)</f>
        <v>0</v>
      </c>
      <c r="L10" s="82" t="n">
        <f aca="false">MAX(D10,IF(05_Params!$B$3="strict",F10,H10),J10)</f>
        <v>0</v>
      </c>
      <c r="M10" s="82" t="n">
        <f aca="false">MAX(E10,IF(05_Params!$B$3="strict",G10,I10),K10)</f>
        <v>0</v>
      </c>
      <c r="N10" s="82" t="n">
        <f aca="false">L10+05_Params!$B$5</f>
        <v>1</v>
      </c>
      <c r="O10" s="82" t="n">
        <f aca="false">M10+05_Params!$B$6</f>
        <v>2</v>
      </c>
      <c r="P10" s="83" t="n">
        <f aca="false">IFERROR(INDEX(05_Params!$E$4:$E$23,COUNTIF(05_Params!$E$4:$E$23,"&lt;"&amp;N10)+1),CEILING(N10,64))</f>
        <v>2</v>
      </c>
      <c r="Q10" s="83" t="n">
        <f aca="false">IFERROR(INDEX(05_Params!$F$4:$F$23,COUNTIF(05_Params!$F$4:$F$23,"&lt;"&amp;O10)+1),CEILING(O10,64))</f>
        <v>2</v>
      </c>
      <c r="R10" s="84" t="n">
        <f aca="false">SUMPRODUCT(03_Colocation_Calc!AA$3:AA$55,03_Colocation_Calc!$J$3:$J$55)</f>
        <v>0</v>
      </c>
      <c r="S10" s="84" t="n">
        <f aca="false">SUMPRODUCT(03_Colocation_Calc!AA$3:AA$55,03_Colocation_Calc!$R$3:$R$55)</f>
        <v>0</v>
      </c>
      <c r="T10" s="84" t="n">
        <f aca="false">(05_Params!$B$7+R10)/(1-05_Params!$B$8)</f>
        <v>26.6666666666667</v>
      </c>
      <c r="U10" s="84" t="n">
        <f aca="false">S10/(1-05_Params!$B$8)</f>
        <v>0</v>
      </c>
      <c r="V10" s="83" t="n">
        <f aca="false">IFERROR(INDEX(05_Params!$G$4:$G$23,COUNTIF(05_Params!$G$4:$G$23,"&lt;"&amp;T10)+1),CEILING(T10,64))</f>
        <v>40</v>
      </c>
      <c r="W10" s="83" t="n">
        <f aca="false">IF(U10&lt;=0,0,IFERROR(INDEX(05_Params!$G$4:$G$23,COUNTIF(05_Params!$G$4:$G$23,"&lt;"&amp;U10)+1),CEILING(U10,64)))</f>
        <v>0</v>
      </c>
      <c r="X10" s="85"/>
      <c r="Y10" s="85"/>
      <c r="Z10" s="85"/>
      <c r="AA10" s="85"/>
      <c r="AB10" s="84" t="str">
        <f aca="false">IF(X10="","",X10-P10)</f>
        <v/>
      </c>
      <c r="AC10" s="84" t="str">
        <f aca="false">IF(Y10="","",Y10-Q10)</f>
        <v/>
      </c>
      <c r="AD10" s="84" t="str">
        <f aca="false">IF(Z10="","",Z10-V10)</f>
        <v/>
      </c>
      <c r="AE10" s="84" t="str">
        <f aca="false">IF(AA10="","",AA10-W10)</f>
        <v/>
      </c>
      <c r="AF10" s="86" t="str">
        <f aca="false">IF(X10="","(ยังไม่กรอก spec)",IF(OR(AB10&lt;0,AC10&lt;0),"ไม่พอ: CPU/RAM",IF(OR(AD10&lt;0,AE10&lt;0),"เสี่ยง: Disk ไม่พอ","พอเพียง")))</f>
        <v>(ยังไม่กรอก spec)</v>
      </c>
      <c r="AG10" s="81" t="str">
        <f aca="false">IF(L10=D10,"A Peak-Max",IF(L10=J10,"C Resident","B Weighted"))</f>
        <v>A Peak-Max</v>
      </c>
      <c r="AH10" s="81" t="str">
        <f aca="false">IF(M10=E10,"A Peak-Max",IF(M10=K10,"C Resident","B Weighted"))</f>
        <v>A Peak-Max</v>
      </c>
    </row>
    <row r="11" customFormat="false" ht="31.5" hidden="false" customHeight="true" outlineLevel="0" collapsed="false">
      <c r="A11" s="79" t="s">
        <v>633</v>
      </c>
      <c r="B11" s="80" t="s">
        <v>678</v>
      </c>
      <c r="C11" s="81" t="n">
        <f aca="false">SUM(03_Colocation_Calc!AB$3:AB$55)</f>
        <v>0</v>
      </c>
      <c r="D11" s="82" t="n">
        <f aca="false">SUMPRODUCT(MAX(03_Colocation_Calc!AB$3:AB$55*03_Colocation_Calc!$F$3:$F$55))</f>
        <v>0</v>
      </c>
      <c r="E11" s="82" t="n">
        <f aca="false">SUMPRODUCT(MAX(03_Colocation_Calc!AB$3:AB$55*03_Colocation_Calc!$G$3:$G$55))</f>
        <v>0</v>
      </c>
      <c r="F11" s="82" t="n">
        <f aca="false">SUMPRODUCT(03_Colocation_Calc!AB$3:AB$55,03_Colocation_Calc!$O$3:$O$55,03_Colocation_Calc!$F$3:$F$55)</f>
        <v>0</v>
      </c>
      <c r="G11" s="82" t="n">
        <f aca="false">SUMPRODUCT(03_Colocation_Calc!AB$3:AB$55,03_Colocation_Calc!$O$3:$O$55,03_Colocation_Calc!$G$3:$G$55)</f>
        <v>0</v>
      </c>
      <c r="H11" s="82" t="n">
        <f aca="false">SUMPRODUCT(03_Colocation_Calc!AB$3:AB$55,--(03_Colocation_Calc!$D$3:$D$55="resident"),03_Colocation_Calc!$O$3:$O$55,03_Colocation_Calc!$F$3:$F$55)+SUMPRODUCT(MAX(03_Colocation_Calc!AB$3:AB$55*--(03_Colocation_Calc!$D$3:$D$55="ci_seq")*03_Colocation_Calc!$O$3:$O$55*03_Colocation_Calc!$F$3:$F$55))+SUMPRODUCT(MAX(03_Colocation_Calc!AB$3:AB$55*--(03_Colocation_Calc!$D$3:$D$55="async")*03_Colocation_Calc!$O$3:$O$55*03_Colocation_Calc!$F$3:$F$55))+SUMPRODUCT(MAX(03_Colocation_Calc!AB$3:AB$55*--(03_Colocation_Calc!$D$3:$D$55="load")*03_Colocation_Calc!$O$3:$O$55*03_Colocation_Calc!$F$3:$F$55))</f>
        <v>0</v>
      </c>
      <c r="I11" s="82" t="n">
        <f aca="false">SUMPRODUCT(03_Colocation_Calc!AB$3:AB$55,--(03_Colocation_Calc!$D$3:$D$55="resident"),03_Colocation_Calc!$O$3:$O$55,03_Colocation_Calc!$G$3:$G$55)+SUMPRODUCT(MAX(03_Colocation_Calc!AB$3:AB$55*--(03_Colocation_Calc!$D$3:$D$55="ci_seq")*03_Colocation_Calc!$O$3:$O$55*03_Colocation_Calc!$G$3:$G$55))+SUMPRODUCT(MAX(03_Colocation_Calc!AB$3:AB$55*--(03_Colocation_Calc!$D$3:$D$55="async")*03_Colocation_Calc!$O$3:$O$55*03_Colocation_Calc!$G$3:$G$55))+SUMPRODUCT(MAX(03_Colocation_Calc!AB$3:AB$55*--(03_Colocation_Calc!$D$3:$D$55="load")*03_Colocation_Calc!$O$3:$O$55*03_Colocation_Calc!$G$3:$G$55))</f>
        <v>0</v>
      </c>
      <c r="J11" s="82" t="n">
        <f aca="false">SUMPRODUCT(03_Colocation_Calc!AB$3:AB$55,03_Colocation_Calc!$I$3:$I$55)*0.25</f>
        <v>0</v>
      </c>
      <c r="K11" s="82" t="n">
        <f aca="false">SUMPRODUCT(03_Colocation_Calc!AB$3:AB$55,03_Colocation_Calc!$I$3:$I$55,03_Colocation_Calc!$H$3:$H$55)</f>
        <v>0</v>
      </c>
      <c r="L11" s="82" t="n">
        <f aca="false">MAX(D11,IF(05_Params!$B$3="strict",F11,H11),J11)</f>
        <v>0</v>
      </c>
      <c r="M11" s="82" t="n">
        <f aca="false">MAX(E11,IF(05_Params!$B$3="strict",G11,I11),K11)</f>
        <v>0</v>
      </c>
      <c r="N11" s="82" t="n">
        <f aca="false">L11+05_Params!$B$5</f>
        <v>1</v>
      </c>
      <c r="O11" s="82" t="n">
        <f aca="false">M11+05_Params!$B$6</f>
        <v>2</v>
      </c>
      <c r="P11" s="83" t="n">
        <f aca="false">IFERROR(INDEX(05_Params!$E$4:$E$23,COUNTIF(05_Params!$E$4:$E$23,"&lt;"&amp;N11)+1),CEILING(N11,64))</f>
        <v>2</v>
      </c>
      <c r="Q11" s="83" t="n">
        <f aca="false">IFERROR(INDEX(05_Params!$F$4:$F$23,COUNTIF(05_Params!$F$4:$F$23,"&lt;"&amp;O11)+1),CEILING(O11,64))</f>
        <v>2</v>
      </c>
      <c r="R11" s="84" t="n">
        <f aca="false">SUMPRODUCT(03_Colocation_Calc!AB$3:AB$55,03_Colocation_Calc!$J$3:$J$55)</f>
        <v>0</v>
      </c>
      <c r="S11" s="84" t="n">
        <f aca="false">SUMPRODUCT(03_Colocation_Calc!AB$3:AB$55,03_Colocation_Calc!$R$3:$R$55)</f>
        <v>0</v>
      </c>
      <c r="T11" s="84" t="n">
        <f aca="false">(05_Params!$B$7+R11)/(1-05_Params!$B$8)</f>
        <v>26.6666666666667</v>
      </c>
      <c r="U11" s="84" t="n">
        <f aca="false">S11/(1-05_Params!$B$8)</f>
        <v>0</v>
      </c>
      <c r="V11" s="83" t="n">
        <f aca="false">IFERROR(INDEX(05_Params!$G$4:$G$23,COUNTIF(05_Params!$G$4:$G$23,"&lt;"&amp;T11)+1),CEILING(T11,64))</f>
        <v>40</v>
      </c>
      <c r="W11" s="83" t="n">
        <f aca="false">IF(U11&lt;=0,0,IFERROR(INDEX(05_Params!$G$4:$G$23,COUNTIF(05_Params!$G$4:$G$23,"&lt;"&amp;U11)+1),CEILING(U11,64)))</f>
        <v>0</v>
      </c>
      <c r="X11" s="85"/>
      <c r="Y11" s="85"/>
      <c r="Z11" s="85"/>
      <c r="AA11" s="85"/>
      <c r="AB11" s="84" t="str">
        <f aca="false">IF(X11="","",X11-P11)</f>
        <v/>
      </c>
      <c r="AC11" s="84" t="str">
        <f aca="false">IF(Y11="","",Y11-Q11)</f>
        <v/>
      </c>
      <c r="AD11" s="84" t="str">
        <f aca="false">IF(Z11="","",Z11-V11)</f>
        <v/>
      </c>
      <c r="AE11" s="84" t="str">
        <f aca="false">IF(AA11="","",AA11-W11)</f>
        <v/>
      </c>
      <c r="AF11" s="86" t="str">
        <f aca="false">IF(X11="","(ยังไม่กรอก spec)",IF(OR(AB11&lt;0,AC11&lt;0),"ไม่พอ: CPU/RAM",IF(OR(AD11&lt;0,AE11&lt;0),"เสี่ยง: Disk ไม่พอ","พอเพียง")))</f>
        <v>(ยังไม่กรอก spec)</v>
      </c>
      <c r="AG11" s="81" t="str">
        <f aca="false">IF(L11=D11,"A Peak-Max",IF(L11=J11,"C Resident","B Weighted"))</f>
        <v>A Peak-Max</v>
      </c>
      <c r="AH11" s="81" t="str">
        <f aca="false">IF(M11=E11,"A Peak-Max",IF(M11=K11,"C Resident","B Weighted"))</f>
        <v>A Peak-Max</v>
      </c>
    </row>
    <row r="12" customFormat="false" ht="31.5" hidden="false" customHeight="true" outlineLevel="0" collapsed="false">
      <c r="A12" s="79" t="s">
        <v>634</v>
      </c>
      <c r="B12" s="80" t="s">
        <v>678</v>
      </c>
      <c r="C12" s="81" t="n">
        <f aca="false">SUM(03_Colocation_Calc!AC$3:AC$55)</f>
        <v>0</v>
      </c>
      <c r="D12" s="82" t="n">
        <f aca="false">SUMPRODUCT(MAX(03_Colocation_Calc!AC$3:AC$55*03_Colocation_Calc!$F$3:$F$55))</f>
        <v>0</v>
      </c>
      <c r="E12" s="82" t="n">
        <f aca="false">SUMPRODUCT(MAX(03_Colocation_Calc!AC$3:AC$55*03_Colocation_Calc!$G$3:$G$55))</f>
        <v>0</v>
      </c>
      <c r="F12" s="82" t="n">
        <f aca="false">SUMPRODUCT(03_Colocation_Calc!AC$3:AC$55,03_Colocation_Calc!$O$3:$O$55,03_Colocation_Calc!$F$3:$F$55)</f>
        <v>0</v>
      </c>
      <c r="G12" s="82" t="n">
        <f aca="false">SUMPRODUCT(03_Colocation_Calc!AC$3:AC$55,03_Colocation_Calc!$O$3:$O$55,03_Colocation_Calc!$G$3:$G$55)</f>
        <v>0</v>
      </c>
      <c r="H12" s="82" t="n">
        <f aca="false">SUMPRODUCT(03_Colocation_Calc!AC$3:AC$55,--(03_Colocation_Calc!$D$3:$D$55="resident"),03_Colocation_Calc!$O$3:$O$55,03_Colocation_Calc!$F$3:$F$55)+SUMPRODUCT(MAX(03_Colocation_Calc!AC$3:AC$55*--(03_Colocation_Calc!$D$3:$D$55="ci_seq")*03_Colocation_Calc!$O$3:$O$55*03_Colocation_Calc!$F$3:$F$55))+SUMPRODUCT(MAX(03_Colocation_Calc!AC$3:AC$55*--(03_Colocation_Calc!$D$3:$D$55="async")*03_Colocation_Calc!$O$3:$O$55*03_Colocation_Calc!$F$3:$F$55))+SUMPRODUCT(MAX(03_Colocation_Calc!AC$3:AC$55*--(03_Colocation_Calc!$D$3:$D$55="load")*03_Colocation_Calc!$O$3:$O$55*03_Colocation_Calc!$F$3:$F$55))</f>
        <v>0</v>
      </c>
      <c r="I12" s="82" t="n">
        <f aca="false">SUMPRODUCT(03_Colocation_Calc!AC$3:AC$55,--(03_Colocation_Calc!$D$3:$D$55="resident"),03_Colocation_Calc!$O$3:$O$55,03_Colocation_Calc!$G$3:$G$55)+SUMPRODUCT(MAX(03_Colocation_Calc!AC$3:AC$55*--(03_Colocation_Calc!$D$3:$D$55="ci_seq")*03_Colocation_Calc!$O$3:$O$55*03_Colocation_Calc!$G$3:$G$55))+SUMPRODUCT(MAX(03_Colocation_Calc!AC$3:AC$55*--(03_Colocation_Calc!$D$3:$D$55="async")*03_Colocation_Calc!$O$3:$O$55*03_Colocation_Calc!$G$3:$G$55))+SUMPRODUCT(MAX(03_Colocation_Calc!AC$3:AC$55*--(03_Colocation_Calc!$D$3:$D$55="load")*03_Colocation_Calc!$O$3:$O$55*03_Colocation_Calc!$G$3:$G$55))</f>
        <v>0</v>
      </c>
      <c r="J12" s="82" t="n">
        <f aca="false">SUMPRODUCT(03_Colocation_Calc!AC$3:AC$55,03_Colocation_Calc!$I$3:$I$55)*0.25</f>
        <v>0</v>
      </c>
      <c r="K12" s="82" t="n">
        <f aca="false">SUMPRODUCT(03_Colocation_Calc!AC$3:AC$55,03_Colocation_Calc!$I$3:$I$55,03_Colocation_Calc!$H$3:$H$55)</f>
        <v>0</v>
      </c>
      <c r="L12" s="82" t="n">
        <f aca="false">MAX(D12,IF(05_Params!$B$3="strict",F12,H12),J12)</f>
        <v>0</v>
      </c>
      <c r="M12" s="82" t="n">
        <f aca="false">MAX(E12,IF(05_Params!$B$3="strict",G12,I12),K12)</f>
        <v>0</v>
      </c>
      <c r="N12" s="82" t="n">
        <f aca="false">L12+05_Params!$B$5</f>
        <v>1</v>
      </c>
      <c r="O12" s="82" t="n">
        <f aca="false">M12+05_Params!$B$6</f>
        <v>2</v>
      </c>
      <c r="P12" s="83" t="n">
        <f aca="false">IFERROR(INDEX(05_Params!$E$4:$E$23,COUNTIF(05_Params!$E$4:$E$23,"&lt;"&amp;N12)+1),CEILING(N12,64))</f>
        <v>2</v>
      </c>
      <c r="Q12" s="83" t="n">
        <f aca="false">IFERROR(INDEX(05_Params!$F$4:$F$23,COUNTIF(05_Params!$F$4:$F$23,"&lt;"&amp;O12)+1),CEILING(O12,64))</f>
        <v>2</v>
      </c>
      <c r="R12" s="84" t="n">
        <f aca="false">SUMPRODUCT(03_Colocation_Calc!AC$3:AC$55,03_Colocation_Calc!$J$3:$J$55)</f>
        <v>0</v>
      </c>
      <c r="S12" s="84" t="n">
        <f aca="false">SUMPRODUCT(03_Colocation_Calc!AC$3:AC$55,03_Colocation_Calc!$R$3:$R$55)</f>
        <v>0</v>
      </c>
      <c r="T12" s="84" t="n">
        <f aca="false">(05_Params!$B$7+R12)/(1-05_Params!$B$8)</f>
        <v>26.6666666666667</v>
      </c>
      <c r="U12" s="84" t="n">
        <f aca="false">S12/(1-05_Params!$B$8)</f>
        <v>0</v>
      </c>
      <c r="V12" s="83" t="n">
        <f aca="false">IFERROR(INDEX(05_Params!$G$4:$G$23,COUNTIF(05_Params!$G$4:$G$23,"&lt;"&amp;T12)+1),CEILING(T12,64))</f>
        <v>40</v>
      </c>
      <c r="W12" s="83" t="n">
        <f aca="false">IF(U12&lt;=0,0,IFERROR(INDEX(05_Params!$G$4:$G$23,COUNTIF(05_Params!$G$4:$G$23,"&lt;"&amp;U12)+1),CEILING(U12,64)))</f>
        <v>0</v>
      </c>
      <c r="X12" s="85"/>
      <c r="Y12" s="85"/>
      <c r="Z12" s="85"/>
      <c r="AA12" s="85"/>
      <c r="AB12" s="84" t="str">
        <f aca="false">IF(X12="","",X12-P12)</f>
        <v/>
      </c>
      <c r="AC12" s="84" t="str">
        <f aca="false">IF(Y12="","",Y12-Q12)</f>
        <v/>
      </c>
      <c r="AD12" s="84" t="str">
        <f aca="false">IF(Z12="","",Z12-V12)</f>
        <v/>
      </c>
      <c r="AE12" s="84" t="str">
        <f aca="false">IF(AA12="","",AA12-W12)</f>
        <v/>
      </c>
      <c r="AF12" s="86" t="str">
        <f aca="false">IF(X12="","(ยังไม่กรอก spec)",IF(OR(AB12&lt;0,AC12&lt;0),"ไม่พอ: CPU/RAM",IF(OR(AD12&lt;0,AE12&lt;0),"เสี่ยง: Disk ไม่พอ","พอเพียง")))</f>
        <v>(ยังไม่กรอก spec)</v>
      </c>
      <c r="AG12" s="81" t="str">
        <f aca="false">IF(L12=D12,"A Peak-Max",IF(L12=J12,"C Resident","B Weighted"))</f>
        <v>A Peak-Max</v>
      </c>
      <c r="AH12" s="81" t="str">
        <f aca="false">IF(M12=E12,"A Peak-Max",IF(M12=K12,"C Resident","B Weighted"))</f>
        <v>A Peak-Max</v>
      </c>
    </row>
    <row r="15" customFormat="false" ht="15" hidden="false" customHeight="false" outlineLevel="0" collapsed="false">
      <c r="A15" s="87" t="s">
        <v>679</v>
      </c>
    </row>
    <row r="16" customFormat="false" ht="30" hidden="false" customHeight="true" outlineLevel="0" collapsed="false">
      <c r="A16" s="88" t="s">
        <v>680</v>
      </c>
      <c r="C16" s="89" t="s">
        <v>681</v>
      </c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</row>
    <row r="17" customFormat="false" ht="30" hidden="false" customHeight="true" outlineLevel="0" collapsed="false">
      <c r="A17" s="88" t="s">
        <v>682</v>
      </c>
      <c r="C17" s="89" t="s">
        <v>683</v>
      </c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</row>
    <row r="18" customFormat="false" ht="30" hidden="false" customHeight="true" outlineLevel="0" collapsed="false">
      <c r="A18" s="88" t="s">
        <v>684</v>
      </c>
      <c r="C18" s="89" t="s">
        <v>685</v>
      </c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</row>
    <row r="19" customFormat="false" ht="30" hidden="false" customHeight="true" outlineLevel="0" collapsed="false">
      <c r="A19" s="88" t="s">
        <v>686</v>
      </c>
      <c r="C19" s="89" t="s">
        <v>687</v>
      </c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</row>
    <row r="20" customFormat="false" ht="30" hidden="false" customHeight="true" outlineLevel="0" collapsed="false">
      <c r="A20" s="88" t="s">
        <v>688</v>
      </c>
      <c r="C20" s="89" t="s">
        <v>689</v>
      </c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</row>
    <row r="21" customFormat="false" ht="30" hidden="false" customHeight="true" outlineLevel="0" collapsed="false">
      <c r="A21" s="88" t="s">
        <v>690</v>
      </c>
      <c r="C21" s="89" t="s">
        <v>691</v>
      </c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</row>
    <row r="22" customFormat="false" ht="30" hidden="false" customHeight="true" outlineLevel="0" collapsed="false">
      <c r="A22" s="88" t="s">
        <v>692</v>
      </c>
      <c r="C22" s="89" t="s">
        <v>693</v>
      </c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</row>
  </sheetData>
  <mergeCells count="7">
    <mergeCell ref="C16:R16"/>
    <mergeCell ref="C17:R17"/>
    <mergeCell ref="C18:R18"/>
    <mergeCell ref="C19:R19"/>
    <mergeCell ref="C20:R20"/>
    <mergeCell ref="C21:R21"/>
    <mergeCell ref="C22:R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62"/>
    <col collapsed="false" customWidth="true" hidden="false" outlineLevel="0" max="7" min="5" style="0" width="12"/>
  </cols>
  <sheetData>
    <row r="1" customFormat="false" ht="24" hidden="false" customHeight="true" outlineLevel="0" collapsed="false">
      <c r="A1" s="8" t="s">
        <v>694</v>
      </c>
      <c r="C1" s="3" t="s">
        <v>695</v>
      </c>
    </row>
    <row r="2" customFormat="false" ht="15" hidden="false" customHeight="false" outlineLevel="0" collapsed="false">
      <c r="E2" s="43" t="s">
        <v>696</v>
      </c>
    </row>
    <row r="3" customFormat="false" ht="30" hidden="false" customHeight="true" outlineLevel="0" collapsed="false">
      <c r="A3" s="40" t="s">
        <v>697</v>
      </c>
      <c r="B3" s="90" t="s">
        <v>698</v>
      </c>
      <c r="C3" s="91" t="s">
        <v>699</v>
      </c>
      <c r="E3" s="92" t="s">
        <v>700</v>
      </c>
      <c r="F3" s="92" t="s">
        <v>701</v>
      </c>
      <c r="G3" s="92" t="s">
        <v>702</v>
      </c>
    </row>
    <row r="4" customFormat="false" ht="30" hidden="false" customHeight="true" outlineLevel="0" collapsed="false">
      <c r="A4" s="40" t="s">
        <v>703</v>
      </c>
      <c r="B4" s="90" t="n">
        <v>1</v>
      </c>
      <c r="C4" s="91" t="s">
        <v>704</v>
      </c>
      <c r="E4" s="93" t="n">
        <v>2</v>
      </c>
      <c r="F4" s="93" t="n">
        <v>2</v>
      </c>
      <c r="G4" s="93" t="n">
        <v>20</v>
      </c>
    </row>
    <row r="5" customFormat="false" ht="30" hidden="false" customHeight="true" outlineLevel="0" collapsed="false">
      <c r="A5" s="40" t="s">
        <v>705</v>
      </c>
      <c r="B5" s="90" t="n">
        <v>1</v>
      </c>
      <c r="C5" s="91" t="s">
        <v>706</v>
      </c>
      <c r="E5" s="93" t="n">
        <v>4</v>
      </c>
      <c r="F5" s="93" t="n">
        <v>4</v>
      </c>
      <c r="G5" s="93" t="n">
        <v>40</v>
      </c>
    </row>
    <row r="6" customFormat="false" ht="30" hidden="false" customHeight="true" outlineLevel="0" collapsed="false">
      <c r="A6" s="40" t="s">
        <v>707</v>
      </c>
      <c r="B6" s="90" t="n">
        <v>2</v>
      </c>
      <c r="C6" s="91" t="s">
        <v>708</v>
      </c>
      <c r="E6" s="93" t="n">
        <v>6</v>
      </c>
      <c r="F6" s="93" t="n">
        <v>8</v>
      </c>
      <c r="G6" s="93" t="n">
        <v>60</v>
      </c>
    </row>
    <row r="7" customFormat="false" ht="30" hidden="false" customHeight="true" outlineLevel="0" collapsed="false">
      <c r="A7" s="40" t="s">
        <v>709</v>
      </c>
      <c r="B7" s="90" t="n">
        <v>20</v>
      </c>
      <c r="C7" s="91" t="s">
        <v>710</v>
      </c>
      <c r="E7" s="93" t="n">
        <v>8</v>
      </c>
      <c r="F7" s="93" t="n">
        <v>12</v>
      </c>
      <c r="G7" s="93" t="n">
        <v>80</v>
      </c>
    </row>
    <row r="8" customFormat="false" ht="30" hidden="false" customHeight="true" outlineLevel="0" collapsed="false">
      <c r="A8" s="40" t="s">
        <v>711</v>
      </c>
      <c r="B8" s="94" t="n">
        <v>0.25</v>
      </c>
      <c r="C8" s="91" t="s">
        <v>712</v>
      </c>
      <c r="E8" s="93" t="n">
        <v>12</v>
      </c>
      <c r="F8" s="93" t="n">
        <v>16</v>
      </c>
      <c r="G8" s="93" t="n">
        <v>100</v>
      </c>
    </row>
    <row r="9" customFormat="false" ht="30" hidden="false" customHeight="true" outlineLevel="0" collapsed="false">
      <c r="A9" s="40" t="s">
        <v>713</v>
      </c>
      <c r="B9" s="90" t="n">
        <v>0.5</v>
      </c>
      <c r="C9" s="91" t="s">
        <v>714</v>
      </c>
      <c r="E9" s="93" t="n">
        <v>16</v>
      </c>
      <c r="F9" s="93" t="n">
        <v>24</v>
      </c>
      <c r="G9" s="93" t="n">
        <v>150</v>
      </c>
    </row>
    <row r="10" customFormat="false" ht="30" hidden="false" customHeight="true" outlineLevel="0" collapsed="false">
      <c r="A10" s="40" t="s">
        <v>715</v>
      </c>
      <c r="B10" s="90" t="n">
        <v>0.45</v>
      </c>
      <c r="C10" s="91" t="s">
        <v>716</v>
      </c>
      <c r="E10" s="93" t="n">
        <v>24</v>
      </c>
      <c r="F10" s="93" t="n">
        <v>32</v>
      </c>
      <c r="G10" s="93" t="n">
        <v>200</v>
      </c>
    </row>
    <row r="11" customFormat="false" ht="15" hidden="false" customHeight="false" outlineLevel="0" collapsed="false">
      <c r="E11" s="93" t="n">
        <v>32</v>
      </c>
      <c r="F11" s="93" t="n">
        <v>48</v>
      </c>
      <c r="G11" s="93" t="n">
        <v>300</v>
      </c>
    </row>
    <row r="12" customFormat="false" ht="15" hidden="false" customHeight="false" outlineLevel="0" collapsed="false">
      <c r="A12" s="40" t="s">
        <v>717</v>
      </c>
      <c r="E12" s="93" t="n">
        <v>48</v>
      </c>
      <c r="F12" s="93" t="n">
        <v>64</v>
      </c>
      <c r="G12" s="93" t="n">
        <v>500</v>
      </c>
    </row>
    <row r="13" customFormat="false" ht="15" hidden="false" customHeight="false" outlineLevel="0" collapsed="false">
      <c r="A13" s="40" t="s">
        <v>718</v>
      </c>
      <c r="B13" s="90" t="n">
        <v>12</v>
      </c>
      <c r="C13" s="95"/>
      <c r="E13" s="93" t="n">
        <v>64</v>
      </c>
      <c r="F13" s="93" t="n">
        <v>96</v>
      </c>
      <c r="G13" s="93" t="n">
        <v>750</v>
      </c>
    </row>
    <row r="14" customFormat="false" ht="15" hidden="false" customHeight="false" outlineLevel="0" collapsed="false">
      <c r="A14" s="40" t="s">
        <v>719</v>
      </c>
      <c r="B14" s="90" t="n">
        <v>24</v>
      </c>
      <c r="C14" s="95"/>
      <c r="F14" s="93" t="n">
        <v>128</v>
      </c>
      <c r="G14" s="93" t="n">
        <v>1000</v>
      </c>
    </row>
    <row r="15" customFormat="false" ht="15" hidden="false" customHeight="false" outlineLevel="0" collapsed="false">
      <c r="A15" s="40" t="s">
        <v>720</v>
      </c>
      <c r="B15" s="90" t="n">
        <v>36</v>
      </c>
      <c r="C15" s="95" t="s">
        <v>721</v>
      </c>
      <c r="F15" s="93" t="n">
        <v>192</v>
      </c>
      <c r="G15" s="93" t="n">
        <v>1500</v>
      </c>
    </row>
    <row r="16" customFormat="false" ht="15" hidden="false" customHeight="false" outlineLevel="0" collapsed="false">
      <c r="A16" s="40" t="s">
        <v>722</v>
      </c>
      <c r="B16" s="90" t="n">
        <v>60</v>
      </c>
      <c r="C16" s="95"/>
      <c r="F16" s="93" t="n">
        <v>256</v>
      </c>
      <c r="G16" s="93" t="n">
        <v>2000</v>
      </c>
    </row>
    <row r="17" customFormat="false" ht="15" hidden="false" customHeight="false" outlineLevel="0" collapsed="false">
      <c r="G17" s="93" t="n">
        <v>3000</v>
      </c>
    </row>
    <row r="18" customFormat="false" ht="15" hidden="false" customHeight="false" outlineLevel="0" collapsed="false">
      <c r="G18" s="93" t="n">
        <v>4000</v>
      </c>
    </row>
    <row r="19" customFormat="false" ht="15" hidden="false" customHeight="false" outlineLevel="0" collapsed="false">
      <c r="G19" s="93" t="n">
        <v>6000</v>
      </c>
    </row>
    <row r="20" customFormat="false" ht="15" hidden="false" customHeight="false" outlineLevel="0" collapsed="false">
      <c r="G20" s="93" t="n">
        <v>8000</v>
      </c>
    </row>
  </sheetData>
  <dataValidations count="1">
    <dataValidation allowBlank="false" errorStyle="stop" operator="between" showDropDown="false" showErrorMessage="false" showInputMessage="false" sqref="B3" type="list">
      <formula1>"strict,realistic"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4"/>
    <col collapsed="false" customWidth="true" hidden="false" outlineLevel="0" max="4" min="3" style="0" width="12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11" min="8" style="0" width="13"/>
    <col collapsed="false" customWidth="true" hidden="false" outlineLevel="0" max="12" min="12" style="0" width="14"/>
    <col collapsed="false" customWidth="true" hidden="false" outlineLevel="0" max="13" min="13" style="0" width="60"/>
  </cols>
  <sheetData>
    <row r="1" customFormat="false" ht="24" hidden="false" customHeight="true" outlineLevel="0" collapsed="false">
      <c r="A1" s="8" t="s">
        <v>723</v>
      </c>
      <c r="C1" s="3" t="s">
        <v>724</v>
      </c>
    </row>
    <row r="2" customFormat="false" ht="45.75" hidden="false" customHeight="true" outlineLevel="0" collapsed="false">
      <c r="A2" s="9" t="s">
        <v>61</v>
      </c>
      <c r="B2" s="9" t="s">
        <v>62</v>
      </c>
      <c r="C2" s="9" t="s">
        <v>725</v>
      </c>
      <c r="D2" s="9" t="s">
        <v>619</v>
      </c>
      <c r="E2" s="9" t="s">
        <v>726</v>
      </c>
      <c r="F2" s="9" t="s">
        <v>81</v>
      </c>
      <c r="G2" s="9" t="s">
        <v>82</v>
      </c>
      <c r="H2" s="9" t="s">
        <v>727</v>
      </c>
      <c r="I2" s="9" t="s">
        <v>728</v>
      </c>
      <c r="J2" s="9" t="s">
        <v>729</v>
      </c>
      <c r="K2" s="9" t="s">
        <v>730</v>
      </c>
      <c r="L2" s="9" t="s">
        <v>731</v>
      </c>
      <c r="M2" s="9" t="s">
        <v>732</v>
      </c>
    </row>
    <row r="3" customFormat="false" ht="33.75" hidden="false" customHeight="true" outlineLevel="0" collapsed="false">
      <c r="A3" s="96" t="s">
        <v>93</v>
      </c>
      <c r="B3" s="97" t="s">
        <v>94</v>
      </c>
      <c r="C3" s="96" t="n">
        <v>40</v>
      </c>
      <c r="D3" s="96" t="n">
        <v>0.05</v>
      </c>
      <c r="E3" s="96" t="n">
        <v>3650</v>
      </c>
      <c r="F3" s="98" t="n">
        <v>0.2</v>
      </c>
      <c r="G3" s="98" t="n">
        <v>0.25</v>
      </c>
      <c r="H3" s="54" t="n">
        <f aca="false">$C3+$D3*05_Params!$B$4*POWER(1+$G3,05_Params!$B$13/12)*MIN($E3,05_Params!$B$13*30.44)*(1+$F3)</f>
        <v>67.396</v>
      </c>
      <c r="I3" s="54" t="n">
        <f aca="false">$C3+$D3*05_Params!$B$4*POWER(1+$G3,05_Params!$B$14/12)*MIN($E3,05_Params!$B$14*30.44)*(1+$F3)</f>
        <v>108.49</v>
      </c>
      <c r="J3" s="54" t="n">
        <f aca="false">$C3+$D3*05_Params!$B$4*POWER(1+$G3,05_Params!$B$15/12)*MIN($E3,05_Params!$B$15*30.44)*(1+$F3)</f>
        <v>168.41875</v>
      </c>
      <c r="K3" s="54" t="n">
        <f aca="false">$C3+$D3*05_Params!$B$4*POWER(1+$G3,05_Params!$B$16/12)*MIN($E3,05_Params!$B$16*30.44)*(1+$F3)</f>
        <v>374.423828125</v>
      </c>
      <c r="L3" s="83" t="n">
        <f aca="false">IFERROR(INDEX(05_Params!$G$4:$G$23,COUNTIF(05_Params!$G$4:$G$23,"&lt;"&amp;K3/(1-05_Params!$B$8))+1),CEILING(K3/(1-05_Params!$B$8),64))</f>
        <v>500</v>
      </c>
      <c r="M3" s="99" t="s">
        <v>733</v>
      </c>
    </row>
    <row r="4" customFormat="false" ht="33.75" hidden="false" customHeight="true" outlineLevel="0" collapsed="false">
      <c r="A4" s="96" t="s">
        <v>109</v>
      </c>
      <c r="B4" s="97" t="s">
        <v>110</v>
      </c>
      <c r="C4" s="96" t="n">
        <v>10</v>
      </c>
      <c r="D4" s="96" t="n">
        <v>0.02</v>
      </c>
      <c r="E4" s="96" t="n">
        <v>3650</v>
      </c>
      <c r="F4" s="98" t="n">
        <v>0.1</v>
      </c>
      <c r="G4" s="98" t="n">
        <v>0.25</v>
      </c>
      <c r="H4" s="54" t="n">
        <f aca="false">$C4+$D4*05_Params!$B$4*POWER(1+$G4,05_Params!$B$13/12)*MIN($E4,05_Params!$B$13*30.44)*(1+$F4)</f>
        <v>20.0452</v>
      </c>
      <c r="I4" s="54" t="n">
        <f aca="false">$C4+$D4*05_Params!$B$4*POWER(1+$G4,05_Params!$B$14/12)*MIN($E4,05_Params!$B$14*30.44)*(1+$F4)</f>
        <v>35.113</v>
      </c>
      <c r="J4" s="54" t="n">
        <f aca="false">$C4+$D4*05_Params!$B$4*POWER(1+$G4,05_Params!$B$15/12)*MIN($E4,05_Params!$B$15*30.44)*(1+$F4)</f>
        <v>57.086875</v>
      </c>
      <c r="K4" s="54" t="n">
        <f aca="false">$C4+$D4*05_Params!$B$4*POWER(1+$G4,05_Params!$B$16/12)*MIN($E4,05_Params!$B$16*30.44)*(1+$F4)</f>
        <v>132.6220703125</v>
      </c>
      <c r="L4" s="83" t="n">
        <f aca="false">IFERROR(INDEX(05_Params!$G$4:$G$23,COUNTIF(05_Params!$G$4:$G$23,"&lt;"&amp;K4/(1-05_Params!$B$8))+1),CEILING(K4/(1-05_Params!$B$8),64))</f>
        <v>200</v>
      </c>
      <c r="M4" s="99" t="s">
        <v>734</v>
      </c>
    </row>
    <row r="5" customFormat="false" ht="33.75" hidden="false" customHeight="true" outlineLevel="0" collapsed="false">
      <c r="A5" s="96" t="s">
        <v>115</v>
      </c>
      <c r="B5" s="97" t="s">
        <v>116</v>
      </c>
      <c r="C5" s="96" t="n">
        <v>60</v>
      </c>
      <c r="D5" s="96" t="n">
        <v>0.6</v>
      </c>
      <c r="E5" s="96" t="n">
        <v>30</v>
      </c>
      <c r="F5" s="98" t="n">
        <v>0.05</v>
      </c>
      <c r="G5" s="98" t="n">
        <v>0.2</v>
      </c>
      <c r="H5" s="54" t="n">
        <f aca="false">$C5+$D5*05_Params!$B$4*POWER(1+$G5,05_Params!$B$13/12)*MIN($E5,05_Params!$B$13*30.44)*(1+$F5)</f>
        <v>82.68</v>
      </c>
      <c r="I5" s="54" t="n">
        <f aca="false">$C5+$D5*05_Params!$B$4*POWER(1+$G5,05_Params!$B$14/12)*MIN($E5,05_Params!$B$14*30.44)*(1+$F5)</f>
        <v>87.216</v>
      </c>
      <c r="J5" s="54" t="n">
        <f aca="false">$C5+$D5*05_Params!$B$4*POWER(1+$G5,05_Params!$B$15/12)*MIN($E5,05_Params!$B$15*30.44)*(1+$F5)</f>
        <v>92.6592</v>
      </c>
      <c r="K5" s="54" t="n">
        <f aca="false">$C5+$D5*05_Params!$B$4*POWER(1+$G5,05_Params!$B$16/12)*MIN($E5,05_Params!$B$16*30.44)*(1+$F5)</f>
        <v>107.029248</v>
      </c>
      <c r="L5" s="83" t="n">
        <f aca="false">IFERROR(INDEX(05_Params!$G$4:$G$23,COUNTIF(05_Params!$G$4:$G$23,"&lt;"&amp;K5/(1-05_Params!$B$8))+1),CEILING(K5/(1-05_Params!$B$8),64))</f>
        <v>150</v>
      </c>
      <c r="M5" s="99" t="s">
        <v>734</v>
      </c>
    </row>
    <row r="6" customFormat="false" ht="33.75" hidden="false" customHeight="true" outlineLevel="0" collapsed="false">
      <c r="A6" s="96" t="s">
        <v>126</v>
      </c>
      <c r="B6" s="97" t="s">
        <v>127</v>
      </c>
      <c r="C6" s="96" t="n">
        <v>20</v>
      </c>
      <c r="D6" s="96" t="n">
        <v>0.15</v>
      </c>
      <c r="E6" s="96" t="n">
        <v>180</v>
      </c>
      <c r="F6" s="98" t="n">
        <v>0.1</v>
      </c>
      <c r="G6" s="98" t="n">
        <v>0.15</v>
      </c>
      <c r="H6" s="54" t="n">
        <f aca="false">$C6+$D6*05_Params!$B$4*POWER(1+$G6,05_Params!$B$13/12)*MIN($E6,05_Params!$B$13*30.44)*(1+$F6)</f>
        <v>54.155</v>
      </c>
      <c r="I6" s="54" t="n">
        <f aca="false">$C6+$D6*05_Params!$B$4*POWER(1+$G6,05_Params!$B$14/12)*MIN($E6,05_Params!$B$14*30.44)*(1+$F6)</f>
        <v>59.27825</v>
      </c>
      <c r="J6" s="54" t="n">
        <f aca="false">$C6+$D6*05_Params!$B$4*POWER(1+$G6,05_Params!$B$15/12)*MIN($E6,05_Params!$B$15*30.44)*(1+$F6)</f>
        <v>65.1699875</v>
      </c>
      <c r="K6" s="54" t="n">
        <f aca="false">$C6+$D6*05_Params!$B$4*POWER(1+$G6,05_Params!$B$16/12)*MIN($E6,05_Params!$B$16*30.44)*(1+$F6)</f>
        <v>79.73730846875</v>
      </c>
      <c r="L6" s="83" t="n">
        <f aca="false">IFERROR(INDEX(05_Params!$G$4:$G$23,COUNTIF(05_Params!$G$4:$G$23,"&lt;"&amp;K6/(1-05_Params!$B$8))+1),CEILING(K6/(1-05_Params!$B$8),64))</f>
        <v>150</v>
      </c>
      <c r="M6" s="99" t="s">
        <v>735</v>
      </c>
    </row>
    <row r="7" customFormat="false" ht="33.75" hidden="false" customHeight="true" outlineLevel="0" collapsed="false">
      <c r="A7" s="96" t="s">
        <v>135</v>
      </c>
      <c r="B7" s="97" t="s">
        <v>136</v>
      </c>
      <c r="C7" s="96" t="n">
        <v>60</v>
      </c>
      <c r="D7" s="96" t="n">
        <v>0.8</v>
      </c>
      <c r="E7" s="96" t="n">
        <v>7</v>
      </c>
      <c r="F7" s="98" t="n">
        <v>0.05</v>
      </c>
      <c r="G7" s="98" t="n">
        <v>0.2</v>
      </c>
      <c r="H7" s="54" t="n">
        <f aca="false">$C7+$D7*05_Params!$B$4*POWER(1+$G7,05_Params!$B$13/12)*MIN($E7,05_Params!$B$13*30.44)*(1+$F7)</f>
        <v>67.056</v>
      </c>
      <c r="I7" s="54" t="n">
        <f aca="false">$C7+$D7*05_Params!$B$4*POWER(1+$G7,05_Params!$B$14/12)*MIN($E7,05_Params!$B$14*30.44)*(1+$F7)</f>
        <v>68.4672</v>
      </c>
      <c r="J7" s="54" t="n">
        <f aca="false">$C7+$D7*05_Params!$B$4*POWER(1+$G7,05_Params!$B$15/12)*MIN($E7,05_Params!$B$15*30.44)*(1+$F7)</f>
        <v>70.16064</v>
      </c>
      <c r="K7" s="54" t="n">
        <f aca="false">$C7+$D7*05_Params!$B$4*POWER(1+$G7,05_Params!$B$16/12)*MIN($E7,05_Params!$B$16*30.44)*(1+$F7)</f>
        <v>74.6313216</v>
      </c>
      <c r="L7" s="83" t="n">
        <f aca="false">IFERROR(INDEX(05_Params!$G$4:$G$23,COUNTIF(05_Params!$G$4:$G$23,"&lt;"&amp;K7/(1-05_Params!$B$8))+1),CEILING(K7/(1-05_Params!$B$8),64))</f>
        <v>100</v>
      </c>
      <c r="M7" s="99" t="s">
        <v>736</v>
      </c>
    </row>
    <row r="8" customFormat="false" ht="33.75" hidden="false" customHeight="true" outlineLevel="0" collapsed="false">
      <c r="A8" s="96" t="s">
        <v>143</v>
      </c>
      <c r="B8" s="97" t="s">
        <v>144</v>
      </c>
      <c r="C8" s="96" t="n">
        <v>10</v>
      </c>
      <c r="D8" s="96" t="n">
        <v>0.15</v>
      </c>
      <c r="E8" s="96" t="n">
        <v>90</v>
      </c>
      <c r="F8" s="98" t="n">
        <v>0.1</v>
      </c>
      <c r="G8" s="98" t="n">
        <v>0.2</v>
      </c>
      <c r="H8" s="54" t="n">
        <f aca="false">$C8+$D8*05_Params!$B$4*POWER(1+$G8,05_Params!$B$13/12)*MIN($E8,05_Params!$B$13*30.44)*(1+$F8)</f>
        <v>27.82</v>
      </c>
      <c r="I8" s="54" t="n">
        <f aca="false">$C8+$D8*05_Params!$B$4*POWER(1+$G8,05_Params!$B$14/12)*MIN($E8,05_Params!$B$14*30.44)*(1+$F8)</f>
        <v>31.384</v>
      </c>
      <c r="J8" s="54" t="n">
        <f aca="false">$C8+$D8*05_Params!$B$4*POWER(1+$G8,05_Params!$B$15/12)*MIN($E8,05_Params!$B$15*30.44)*(1+$F8)</f>
        <v>35.6608</v>
      </c>
      <c r="K8" s="54" t="n">
        <f aca="false">$C8+$D8*05_Params!$B$4*POWER(1+$G8,05_Params!$B$16/12)*MIN($E8,05_Params!$B$16*30.44)*(1+$F8)</f>
        <v>46.951552</v>
      </c>
      <c r="L8" s="83" t="n">
        <f aca="false">IFERROR(INDEX(05_Params!$G$4:$G$23,COUNTIF(05_Params!$G$4:$G$23,"&lt;"&amp;K8/(1-05_Params!$B$8))+1),CEILING(K8/(1-05_Params!$B$8),64))</f>
        <v>80</v>
      </c>
      <c r="M8" s="99" t="s">
        <v>734</v>
      </c>
    </row>
    <row r="9" customFormat="false" ht="33.75" hidden="false" customHeight="true" outlineLevel="0" collapsed="false">
      <c r="A9" s="96" t="s">
        <v>152</v>
      </c>
      <c r="B9" s="97" t="s">
        <v>153</v>
      </c>
      <c r="C9" s="96" t="n">
        <v>5</v>
      </c>
      <c r="D9" s="96" t="n">
        <v>0.01</v>
      </c>
      <c r="E9" s="96" t="n">
        <v>90</v>
      </c>
      <c r="F9" s="98" t="n">
        <v>0.05</v>
      </c>
      <c r="G9" s="98" t="n">
        <v>0.1</v>
      </c>
      <c r="H9" s="54" t="n">
        <f aca="false">$C9+$D9*05_Params!$B$4*POWER(1+$G9,05_Params!$B$13/12)*MIN($E9,05_Params!$B$13*30.44)*(1+$F9)</f>
        <v>6.0395</v>
      </c>
      <c r="I9" s="54" t="n">
        <f aca="false">$C9+$D9*05_Params!$B$4*POWER(1+$G9,05_Params!$B$14/12)*MIN($E9,05_Params!$B$14*30.44)*(1+$F9)</f>
        <v>6.14345</v>
      </c>
      <c r="J9" s="54" t="n">
        <f aca="false">$C9+$D9*05_Params!$B$4*POWER(1+$G9,05_Params!$B$15/12)*MIN($E9,05_Params!$B$15*30.44)*(1+$F9)</f>
        <v>6.257795</v>
      </c>
      <c r="K9" s="54" t="n">
        <f aca="false">$C9+$D9*05_Params!$B$4*POWER(1+$G9,05_Params!$B$16/12)*MIN($E9,05_Params!$B$16*30.44)*(1+$F9)</f>
        <v>6.52193195</v>
      </c>
      <c r="L9" s="83" t="n">
        <f aca="false">IFERROR(INDEX(05_Params!$G$4:$G$23,COUNTIF(05_Params!$G$4:$G$23,"&lt;"&amp;K9/(1-05_Params!$B$8))+1),CEILING(K9/(1-05_Params!$B$8),64))</f>
        <v>20</v>
      </c>
      <c r="M9" s="99" t="s">
        <v>734</v>
      </c>
    </row>
    <row r="10" customFormat="false" ht="33.75" hidden="false" customHeight="true" outlineLevel="0" collapsed="false">
      <c r="A10" s="96" t="s">
        <v>164</v>
      </c>
      <c r="B10" s="97" t="s">
        <v>165</v>
      </c>
      <c r="C10" s="96" t="n">
        <v>10</v>
      </c>
      <c r="D10" s="96" t="n">
        <v>0.1</v>
      </c>
      <c r="E10" s="96" t="n">
        <v>90</v>
      </c>
      <c r="F10" s="98" t="n">
        <v>0.1</v>
      </c>
      <c r="G10" s="98" t="n">
        <v>0.2</v>
      </c>
      <c r="H10" s="54" t="n">
        <f aca="false">$C10+$D10*05_Params!$B$4*POWER(1+$G10,05_Params!$B$13/12)*MIN($E10,05_Params!$B$13*30.44)*(1+$F10)</f>
        <v>21.88</v>
      </c>
      <c r="I10" s="54" t="n">
        <f aca="false">$C10+$D10*05_Params!$B$4*POWER(1+$G10,05_Params!$B$14/12)*MIN($E10,05_Params!$B$14*30.44)*(1+$F10)</f>
        <v>24.256</v>
      </c>
      <c r="J10" s="54" t="n">
        <f aca="false">$C10+$D10*05_Params!$B$4*POWER(1+$G10,05_Params!$B$15/12)*MIN($E10,05_Params!$B$15*30.44)*(1+$F10)</f>
        <v>27.1072</v>
      </c>
      <c r="K10" s="54" t="n">
        <f aca="false">$C10+$D10*05_Params!$B$4*POWER(1+$G10,05_Params!$B$16/12)*MIN($E10,05_Params!$B$16*30.44)*(1+$F10)</f>
        <v>34.634368</v>
      </c>
      <c r="L10" s="83" t="n">
        <f aca="false">IFERROR(INDEX(05_Params!$G$4:$G$23,COUNTIF(05_Params!$G$4:$G$23,"&lt;"&amp;K10/(1-05_Params!$B$8))+1),CEILING(K10/(1-05_Params!$B$8),64))</f>
        <v>60</v>
      </c>
      <c r="M10" s="99" t="s">
        <v>734</v>
      </c>
    </row>
    <row r="11" customFormat="false" ht="33.75" hidden="false" customHeight="true" outlineLevel="0" collapsed="false">
      <c r="A11" s="100" t="s">
        <v>175</v>
      </c>
      <c r="B11" s="101" t="s">
        <v>176</v>
      </c>
      <c r="C11" s="100" t="n">
        <v>30</v>
      </c>
      <c r="D11" s="100" t="n">
        <v>0.1</v>
      </c>
      <c r="E11" s="100" t="n">
        <v>365</v>
      </c>
      <c r="F11" s="102" t="n">
        <v>0.3</v>
      </c>
      <c r="G11" s="102" t="n">
        <v>0.2</v>
      </c>
      <c r="H11" s="60" t="n">
        <f aca="false">$C11+$D11*05_Params!$B$4*POWER(1+$G11,05_Params!$B$13/12)*MIN($E11,05_Params!$B$13*30.44)*(1+$F11)</f>
        <v>86.94</v>
      </c>
      <c r="I11" s="60" t="n">
        <f aca="false">$C11+$D11*05_Params!$B$4*POWER(1+$G11,05_Params!$B$14/12)*MIN($E11,05_Params!$B$14*30.44)*(1+$F11)</f>
        <v>98.328</v>
      </c>
      <c r="J11" s="60" t="n">
        <f aca="false">$C11+$D11*05_Params!$B$4*POWER(1+$G11,05_Params!$B$15/12)*MIN($E11,05_Params!$B$15*30.44)*(1+$F11)</f>
        <v>111.9936</v>
      </c>
      <c r="K11" s="60" t="n">
        <f aca="false">$C11+$D11*05_Params!$B$4*POWER(1+$G11,05_Params!$B$16/12)*MIN($E11,05_Params!$B$16*30.44)*(1+$F11)</f>
        <v>148.070784</v>
      </c>
      <c r="L11" s="83" t="n">
        <f aca="false">IFERROR(INDEX(05_Params!$G$4:$G$23,COUNTIF(05_Params!$G$4:$G$23,"&lt;"&amp;K11/(1-05_Params!$B$8))+1),CEILING(K11/(1-05_Params!$B$8),64))</f>
        <v>200</v>
      </c>
      <c r="M11" s="99" t="s">
        <v>737</v>
      </c>
    </row>
    <row r="12" customFormat="false" ht="33.75" hidden="false" customHeight="true" outlineLevel="0" collapsed="false">
      <c r="A12" s="100" t="s">
        <v>187</v>
      </c>
      <c r="B12" s="101" t="s">
        <v>188</v>
      </c>
      <c r="C12" s="100" t="n">
        <v>20</v>
      </c>
      <c r="D12" s="100" t="n">
        <v>0.05</v>
      </c>
      <c r="E12" s="100" t="n">
        <v>2555</v>
      </c>
      <c r="F12" s="102" t="n">
        <v>0.35</v>
      </c>
      <c r="G12" s="102" t="n">
        <v>0.2</v>
      </c>
      <c r="H12" s="60" t="n">
        <f aca="false">$C12+$D12*05_Params!$B$4*POWER(1+$G12,05_Params!$B$13/12)*MIN($E12,05_Params!$B$13*30.44)*(1+$F12)</f>
        <v>49.58768</v>
      </c>
      <c r="I12" s="60" t="n">
        <f aca="false">$C12+$D12*05_Params!$B$4*POWER(1+$G12,05_Params!$B$14/12)*MIN($E12,05_Params!$B$14*30.44)*(1+$F12)</f>
        <v>91.010432</v>
      </c>
      <c r="J12" s="60" t="n">
        <f aca="false">$C12+$D12*05_Params!$B$4*POWER(1+$G12,05_Params!$B$15/12)*MIN($E12,05_Params!$B$15*30.44)*(1+$F12)</f>
        <v>147.8187776</v>
      </c>
      <c r="K12" s="60" t="n">
        <f aca="false">$C12+$D12*05_Params!$B$4*POWER(1+$G12,05_Params!$B$16/12)*MIN($E12,05_Params!$B$16*30.44)*(1+$F12)</f>
        <v>326.76506624</v>
      </c>
      <c r="L12" s="83" t="n">
        <f aca="false">IFERROR(INDEX(05_Params!$G$4:$G$23,COUNTIF(05_Params!$G$4:$G$23,"&lt;"&amp;K12/(1-05_Params!$B$8))+1),CEILING(K12/(1-05_Params!$B$8),64))</f>
        <v>500</v>
      </c>
      <c r="M12" s="99" t="s">
        <v>738</v>
      </c>
    </row>
    <row r="13" customFormat="false" ht="33.75" hidden="false" customHeight="true" outlineLevel="0" collapsed="false">
      <c r="A13" s="100" t="s">
        <v>195</v>
      </c>
      <c r="B13" s="101" t="s">
        <v>196</v>
      </c>
      <c r="C13" s="100" t="n">
        <v>5</v>
      </c>
      <c r="D13" s="100" t="n">
        <v>0.02</v>
      </c>
      <c r="E13" s="100" t="n">
        <v>180</v>
      </c>
      <c r="F13" s="102" t="n">
        <v>0.05</v>
      </c>
      <c r="G13" s="102" t="n">
        <v>0.15</v>
      </c>
      <c r="H13" s="60" t="n">
        <f aca="false">$C13+$D13*05_Params!$B$4*POWER(1+$G13,05_Params!$B$13/12)*MIN($E13,05_Params!$B$13*30.44)*(1+$F13)</f>
        <v>9.347</v>
      </c>
      <c r="I13" s="60" t="n">
        <f aca="false">$C13+$D13*05_Params!$B$4*POWER(1+$G13,05_Params!$B$14/12)*MIN($E13,05_Params!$B$14*30.44)*(1+$F13)</f>
        <v>9.99905</v>
      </c>
      <c r="J13" s="60" t="n">
        <f aca="false">$C13+$D13*05_Params!$B$4*POWER(1+$G13,05_Params!$B$15/12)*MIN($E13,05_Params!$B$15*30.44)*(1+$F13)</f>
        <v>10.7489075</v>
      </c>
      <c r="K13" s="60" t="n">
        <f aca="false">$C13+$D13*05_Params!$B$4*POWER(1+$G13,05_Params!$B$16/12)*MIN($E13,05_Params!$B$16*30.44)*(1+$F13)</f>
        <v>12.60293016875</v>
      </c>
      <c r="L13" s="83" t="n">
        <f aca="false">IFERROR(INDEX(05_Params!$G$4:$G$23,COUNTIF(05_Params!$G$4:$G$23,"&lt;"&amp;K13/(1-05_Params!$B$8))+1),CEILING(K13/(1-05_Params!$B$8),64))</f>
        <v>20</v>
      </c>
      <c r="M13" s="99" t="s">
        <v>734</v>
      </c>
    </row>
    <row r="14" customFormat="false" ht="33.75" hidden="false" customHeight="true" outlineLevel="0" collapsed="false">
      <c r="A14" s="100" t="s">
        <v>205</v>
      </c>
      <c r="B14" s="101" t="s">
        <v>206</v>
      </c>
      <c r="C14" s="100" t="n">
        <v>3</v>
      </c>
      <c r="D14" s="100" t="n">
        <v>0.01</v>
      </c>
      <c r="E14" s="100" t="n">
        <v>365</v>
      </c>
      <c r="F14" s="102" t="n">
        <v>0.05</v>
      </c>
      <c r="G14" s="102" t="n">
        <v>0.1</v>
      </c>
      <c r="H14" s="60" t="n">
        <f aca="false">$C14+$D14*05_Params!$B$4*POWER(1+$G14,05_Params!$B$13/12)*MIN($E14,05_Params!$B$13*30.44)*(1+$F14)</f>
        <v>7.21575</v>
      </c>
      <c r="I14" s="60" t="n">
        <f aca="false">$C14+$D14*05_Params!$B$4*POWER(1+$G14,05_Params!$B$14/12)*MIN($E14,05_Params!$B$14*30.44)*(1+$F14)</f>
        <v>7.637325</v>
      </c>
      <c r="J14" s="60" t="n">
        <f aca="false">$C14+$D14*05_Params!$B$4*POWER(1+$G14,05_Params!$B$15/12)*MIN($E14,05_Params!$B$15*30.44)*(1+$F14)</f>
        <v>8.1010575</v>
      </c>
      <c r="K14" s="60" t="n">
        <f aca="false">$C14+$D14*05_Params!$B$4*POWER(1+$G14,05_Params!$B$16/12)*MIN($E14,05_Params!$B$16*30.44)*(1+$F14)</f>
        <v>9.172279575</v>
      </c>
      <c r="L14" s="83" t="n">
        <f aca="false">IFERROR(INDEX(05_Params!$G$4:$G$23,COUNTIF(05_Params!$G$4:$G$23,"&lt;"&amp;K14/(1-05_Params!$B$8))+1),CEILING(K14/(1-05_Params!$B$8),64))</f>
        <v>20</v>
      </c>
      <c r="M14" s="99" t="s">
        <v>734</v>
      </c>
    </row>
    <row r="15" customFormat="false" ht="33.75" hidden="false" customHeight="true" outlineLevel="0" collapsed="false">
      <c r="A15" s="100" t="s">
        <v>214</v>
      </c>
      <c r="B15" s="101" t="s">
        <v>215</v>
      </c>
      <c r="C15" s="100" t="n">
        <v>15</v>
      </c>
      <c r="D15" s="100" t="n">
        <v>0.05</v>
      </c>
      <c r="E15" s="100" t="n">
        <v>365</v>
      </c>
      <c r="F15" s="102" t="n">
        <v>0.1</v>
      </c>
      <c r="G15" s="102" t="n">
        <v>0.15</v>
      </c>
      <c r="H15" s="60" t="n">
        <f aca="false">$C15+$D15*05_Params!$B$4*POWER(1+$G15,05_Params!$B$13/12)*MIN($E15,05_Params!$B$13*30.44)*(1+$F15)</f>
        <v>38.08625</v>
      </c>
      <c r="I15" s="60" t="n">
        <f aca="false">$C15+$D15*05_Params!$B$4*POWER(1+$G15,05_Params!$B$14/12)*MIN($E15,05_Params!$B$14*30.44)*(1+$F15)</f>
        <v>41.5491875</v>
      </c>
      <c r="J15" s="60" t="n">
        <f aca="false">$C15+$D15*05_Params!$B$4*POWER(1+$G15,05_Params!$B$15/12)*MIN($E15,05_Params!$B$15*30.44)*(1+$F15)</f>
        <v>45.531565625</v>
      </c>
      <c r="K15" s="60" t="n">
        <f aca="false">$C15+$D15*05_Params!$B$4*POWER(1+$G15,05_Params!$B$16/12)*MIN($E15,05_Params!$B$16*30.44)*(1+$F15)</f>
        <v>55.3779955390625</v>
      </c>
      <c r="L15" s="83" t="n">
        <f aca="false">IFERROR(INDEX(05_Params!$G$4:$G$23,COUNTIF(05_Params!$G$4:$G$23,"&lt;"&amp;K15/(1-05_Params!$B$8))+1),CEILING(K15/(1-05_Params!$B$8),64))</f>
        <v>80</v>
      </c>
      <c r="M15" s="99" t="s">
        <v>734</v>
      </c>
    </row>
    <row r="16" customFormat="false" ht="33.75" hidden="false" customHeight="true" outlineLevel="0" collapsed="false">
      <c r="A16" s="100" t="s">
        <v>226</v>
      </c>
      <c r="B16" s="101" t="s">
        <v>227</v>
      </c>
      <c r="C16" s="100" t="n">
        <v>10</v>
      </c>
      <c r="D16" s="100" t="n">
        <v>0.03</v>
      </c>
      <c r="E16" s="100" t="n">
        <v>365</v>
      </c>
      <c r="F16" s="102" t="n">
        <v>0.05</v>
      </c>
      <c r="G16" s="102" t="n">
        <v>0.15</v>
      </c>
      <c r="H16" s="60" t="n">
        <f aca="false">$C16+$D16*05_Params!$B$4*POWER(1+$G16,05_Params!$B$13/12)*MIN($E16,05_Params!$B$13*30.44)*(1+$F16)</f>
        <v>23.222125</v>
      </c>
      <c r="I16" s="60" t="n">
        <f aca="false">$C16+$D16*05_Params!$B$4*POWER(1+$G16,05_Params!$B$14/12)*MIN($E16,05_Params!$B$14*30.44)*(1+$F16)</f>
        <v>25.20544375</v>
      </c>
      <c r="J16" s="60" t="n">
        <f aca="false">$C16+$D16*05_Params!$B$4*POWER(1+$G16,05_Params!$B$15/12)*MIN($E16,05_Params!$B$15*30.44)*(1+$F16)</f>
        <v>27.4862603125</v>
      </c>
      <c r="K16" s="60" t="n">
        <f aca="false">$C16+$D16*05_Params!$B$4*POWER(1+$G16,05_Params!$B$16/12)*MIN($E16,05_Params!$B$16*30.44)*(1+$F16)</f>
        <v>33.1255792632812</v>
      </c>
      <c r="L16" s="83" t="n">
        <f aca="false">IFERROR(INDEX(05_Params!$G$4:$G$23,COUNTIF(05_Params!$G$4:$G$23,"&lt;"&amp;K16/(1-05_Params!$B$8))+1),CEILING(K16/(1-05_Params!$B$8),64))</f>
        <v>60</v>
      </c>
      <c r="M16" s="99" t="s">
        <v>734</v>
      </c>
    </row>
    <row r="17" customFormat="false" ht="33.75" hidden="false" customHeight="true" outlineLevel="0" collapsed="false">
      <c r="A17" s="100" t="s">
        <v>236</v>
      </c>
      <c r="B17" s="101" t="s">
        <v>237</v>
      </c>
      <c r="C17" s="100" t="n">
        <v>30</v>
      </c>
      <c r="D17" s="100" t="n">
        <v>0.05</v>
      </c>
      <c r="E17" s="100" t="n">
        <v>730</v>
      </c>
      <c r="F17" s="102" t="n">
        <v>0.2</v>
      </c>
      <c r="G17" s="102" t="n">
        <v>0.1</v>
      </c>
      <c r="H17" s="60" t="n">
        <f aca="false">$C17+$D17*05_Params!$B$4*POWER(1+$G17,05_Params!$B$13/12)*MIN($E17,05_Params!$B$13*30.44)*(1+$F17)</f>
        <v>54.10848</v>
      </c>
      <c r="I17" s="60" t="n">
        <f aca="false">$C17+$D17*05_Params!$B$4*POWER(1+$G17,05_Params!$B$14/12)*MIN($E17,05_Params!$B$14*30.44)*(1+$F17)</f>
        <v>82.998</v>
      </c>
      <c r="J17" s="60" t="n">
        <f aca="false">$C17+$D17*05_Params!$B$4*POWER(1+$G17,05_Params!$B$15/12)*MIN($E17,05_Params!$B$15*30.44)*(1+$F17)</f>
        <v>88.2978</v>
      </c>
      <c r="K17" s="60" t="n">
        <f aca="false">$C17+$D17*05_Params!$B$4*POWER(1+$G17,05_Params!$B$16/12)*MIN($E17,05_Params!$B$16*30.44)*(1+$F17)</f>
        <v>100.540338</v>
      </c>
      <c r="L17" s="83" t="n">
        <f aca="false">IFERROR(INDEX(05_Params!$G$4:$G$23,COUNTIF(05_Params!$G$4:$G$23,"&lt;"&amp;K17/(1-05_Params!$B$8))+1),CEILING(K17/(1-05_Params!$B$8),64))</f>
        <v>150</v>
      </c>
      <c r="M17" s="99" t="s">
        <v>734</v>
      </c>
    </row>
    <row r="18" customFormat="false" ht="33.75" hidden="false" customHeight="true" outlineLevel="0" collapsed="false">
      <c r="A18" s="100" t="s">
        <v>246</v>
      </c>
      <c r="B18" s="101" t="s">
        <v>247</v>
      </c>
      <c r="C18" s="100" t="n">
        <v>3</v>
      </c>
      <c r="D18" s="100" t="n">
        <v>0.01</v>
      </c>
      <c r="E18" s="100" t="n">
        <v>90</v>
      </c>
      <c r="F18" s="102" t="n">
        <v>0.05</v>
      </c>
      <c r="G18" s="102" t="n">
        <v>0.1</v>
      </c>
      <c r="H18" s="60" t="n">
        <f aca="false">$C18+$D18*05_Params!$B$4*POWER(1+$G18,05_Params!$B$13/12)*MIN($E18,05_Params!$B$13*30.44)*(1+$F18)</f>
        <v>4.0395</v>
      </c>
      <c r="I18" s="60" t="n">
        <f aca="false">$C18+$D18*05_Params!$B$4*POWER(1+$G18,05_Params!$B$14/12)*MIN($E18,05_Params!$B$14*30.44)*(1+$F18)</f>
        <v>4.14345</v>
      </c>
      <c r="J18" s="60" t="n">
        <f aca="false">$C18+$D18*05_Params!$B$4*POWER(1+$G18,05_Params!$B$15/12)*MIN($E18,05_Params!$B$15*30.44)*(1+$F18)</f>
        <v>4.257795</v>
      </c>
      <c r="K18" s="60" t="n">
        <f aca="false">$C18+$D18*05_Params!$B$4*POWER(1+$G18,05_Params!$B$16/12)*MIN($E18,05_Params!$B$16*30.44)*(1+$F18)</f>
        <v>4.52193195</v>
      </c>
      <c r="L18" s="83" t="n">
        <f aca="false">IFERROR(INDEX(05_Params!$G$4:$G$23,COUNTIF(05_Params!$G$4:$G$23,"&lt;"&amp;K18/(1-05_Params!$B$8))+1),CEILING(K18/(1-05_Params!$B$8),64))</f>
        <v>20</v>
      </c>
      <c r="M18" s="99" t="s">
        <v>734</v>
      </c>
    </row>
    <row r="19" customFormat="false" ht="33.75" hidden="false" customHeight="true" outlineLevel="0" collapsed="false">
      <c r="A19" s="103" t="s">
        <v>254</v>
      </c>
      <c r="B19" s="104" t="s">
        <v>255</v>
      </c>
      <c r="C19" s="103" t="n">
        <v>40</v>
      </c>
      <c r="D19" s="103" t="n">
        <v>0.3</v>
      </c>
      <c r="E19" s="103" t="n">
        <v>30</v>
      </c>
      <c r="F19" s="105" t="n">
        <v>0.05</v>
      </c>
      <c r="G19" s="105" t="n">
        <v>0.2</v>
      </c>
      <c r="H19" s="64" t="n">
        <f aca="false">$C19+$D19*05_Params!$B$4*POWER(1+$G19,05_Params!$B$13/12)*MIN($E19,05_Params!$B$13*30.44)*(1+$F19)</f>
        <v>51.34</v>
      </c>
      <c r="I19" s="64" t="n">
        <f aca="false">$C19+$D19*05_Params!$B$4*POWER(1+$G19,05_Params!$B$14/12)*MIN($E19,05_Params!$B$14*30.44)*(1+$F19)</f>
        <v>53.608</v>
      </c>
      <c r="J19" s="64" t="n">
        <f aca="false">$C19+$D19*05_Params!$B$4*POWER(1+$G19,05_Params!$B$15/12)*MIN($E19,05_Params!$B$15*30.44)*(1+$F19)</f>
        <v>56.3296</v>
      </c>
      <c r="K19" s="64" t="n">
        <f aca="false">$C19+$D19*05_Params!$B$4*POWER(1+$G19,05_Params!$B$16/12)*MIN($E19,05_Params!$B$16*30.44)*(1+$F19)</f>
        <v>63.514624</v>
      </c>
      <c r="L19" s="83" t="n">
        <f aca="false">IFERROR(INDEX(05_Params!$G$4:$G$23,COUNTIF(05_Params!$G$4:$G$23,"&lt;"&amp;K19/(1-05_Params!$B$8))+1),CEILING(K19/(1-05_Params!$B$8),64))</f>
        <v>100</v>
      </c>
      <c r="M19" s="99" t="s">
        <v>734</v>
      </c>
    </row>
    <row r="20" customFormat="false" ht="33.75" hidden="false" customHeight="true" outlineLevel="0" collapsed="false">
      <c r="A20" s="103" t="s">
        <v>261</v>
      </c>
      <c r="B20" s="104" t="s">
        <v>262</v>
      </c>
      <c r="C20" s="103" t="n">
        <v>100</v>
      </c>
      <c r="D20" s="103" t="n">
        <v>2</v>
      </c>
      <c r="E20" s="103" t="n">
        <v>21</v>
      </c>
      <c r="F20" s="105" t="n">
        <v>0.1</v>
      </c>
      <c r="G20" s="105" t="n">
        <v>0.2</v>
      </c>
      <c r="H20" s="64" t="n">
        <f aca="false">$C20+$D20*05_Params!$B$4*POWER(1+$G20,05_Params!$B$13/12)*MIN($E20,05_Params!$B$13*30.44)*(1+$F20)</f>
        <v>155.44</v>
      </c>
      <c r="I20" s="64" t="n">
        <f aca="false">$C20+$D20*05_Params!$B$4*POWER(1+$G20,05_Params!$B$14/12)*MIN($E20,05_Params!$B$14*30.44)*(1+$F20)</f>
        <v>166.528</v>
      </c>
      <c r="J20" s="64" t="n">
        <f aca="false">$C20+$D20*05_Params!$B$4*POWER(1+$G20,05_Params!$B$15/12)*MIN($E20,05_Params!$B$15*30.44)*(1+$F20)</f>
        <v>179.8336</v>
      </c>
      <c r="K20" s="64" t="n">
        <f aca="false">$C20+$D20*05_Params!$B$4*POWER(1+$G20,05_Params!$B$16/12)*MIN($E20,05_Params!$B$16*30.44)*(1+$F20)</f>
        <v>214.960384</v>
      </c>
      <c r="L20" s="83" t="n">
        <f aca="false">IFERROR(INDEX(05_Params!$G$4:$G$23,COUNTIF(05_Params!$G$4:$G$23,"&lt;"&amp;K20/(1-05_Params!$B$8))+1),CEILING(K20/(1-05_Params!$B$8),64))</f>
        <v>300</v>
      </c>
      <c r="M20" s="99" t="s">
        <v>739</v>
      </c>
    </row>
    <row r="21" customFormat="false" ht="33.75" hidden="false" customHeight="true" outlineLevel="0" collapsed="false">
      <c r="A21" s="103" t="s">
        <v>269</v>
      </c>
      <c r="B21" s="104" t="s">
        <v>270</v>
      </c>
      <c r="C21" s="103" t="n">
        <v>5</v>
      </c>
      <c r="D21" s="103" t="n">
        <v>0.01</v>
      </c>
      <c r="E21" s="103" t="n">
        <v>365</v>
      </c>
      <c r="F21" s="105" t="n">
        <v>0.05</v>
      </c>
      <c r="G21" s="105" t="n">
        <v>0.1</v>
      </c>
      <c r="H21" s="64" t="n">
        <f aca="false">$C21+$D21*05_Params!$B$4*POWER(1+$G21,05_Params!$B$13/12)*MIN($E21,05_Params!$B$13*30.44)*(1+$F21)</f>
        <v>9.21575</v>
      </c>
      <c r="I21" s="64" t="n">
        <f aca="false">$C21+$D21*05_Params!$B$4*POWER(1+$G21,05_Params!$B$14/12)*MIN($E21,05_Params!$B$14*30.44)*(1+$F21)</f>
        <v>9.637325</v>
      </c>
      <c r="J21" s="64" t="n">
        <f aca="false">$C21+$D21*05_Params!$B$4*POWER(1+$G21,05_Params!$B$15/12)*MIN($E21,05_Params!$B$15*30.44)*(1+$F21)</f>
        <v>10.1010575</v>
      </c>
      <c r="K21" s="64" t="n">
        <f aca="false">$C21+$D21*05_Params!$B$4*POWER(1+$G21,05_Params!$B$16/12)*MIN($E21,05_Params!$B$16*30.44)*(1+$F21)</f>
        <v>11.172279575</v>
      </c>
      <c r="L21" s="83" t="n">
        <f aca="false">IFERROR(INDEX(05_Params!$G$4:$G$23,COUNTIF(05_Params!$G$4:$G$23,"&lt;"&amp;K21/(1-05_Params!$B$8))+1),CEILING(K21/(1-05_Params!$B$8),64))</f>
        <v>20</v>
      </c>
      <c r="M21" s="99" t="s">
        <v>734</v>
      </c>
    </row>
    <row r="22" customFormat="false" ht="33.75" hidden="false" customHeight="true" outlineLevel="0" collapsed="false">
      <c r="A22" s="103" t="s">
        <v>277</v>
      </c>
      <c r="B22" s="104" t="s">
        <v>278</v>
      </c>
      <c r="C22" s="103" t="n">
        <v>5</v>
      </c>
      <c r="D22" s="103" t="n">
        <v>0.01</v>
      </c>
      <c r="E22" s="103" t="n">
        <v>2555</v>
      </c>
      <c r="F22" s="105" t="n">
        <v>0.05</v>
      </c>
      <c r="G22" s="105" t="n">
        <v>0.1</v>
      </c>
      <c r="H22" s="64" t="n">
        <f aca="false">$C22+$D22*05_Params!$B$4*POWER(1+$G22,05_Params!$B$13/12)*MIN($E22,05_Params!$B$13*30.44)*(1+$F22)</f>
        <v>9.218984</v>
      </c>
      <c r="I22" s="64" t="n">
        <f aca="false">$C22+$D22*05_Params!$B$4*POWER(1+$G22,05_Params!$B$14/12)*MIN($E22,05_Params!$B$14*30.44)*(1+$F22)</f>
        <v>14.2817648</v>
      </c>
      <c r="J22" s="64" t="n">
        <f aca="false">$C22+$D22*05_Params!$B$4*POWER(1+$G22,05_Params!$B$15/12)*MIN($E22,05_Params!$B$15*30.44)*(1+$F22)</f>
        <v>20.31491192</v>
      </c>
      <c r="K22" s="64" t="n">
        <f aca="false">$C22+$D22*05_Params!$B$4*POWER(1+$G22,05_Params!$B$16/12)*MIN($E22,05_Params!$B$16*30.44)*(1+$F22)</f>
        <v>35.885072372</v>
      </c>
      <c r="L22" s="83" t="n">
        <f aca="false">IFERROR(INDEX(05_Params!$G$4:$G$23,COUNTIF(05_Params!$G$4:$G$23,"&lt;"&amp;K22/(1-05_Params!$B$8))+1),CEILING(K22/(1-05_Params!$B$8),64))</f>
        <v>60</v>
      </c>
      <c r="M22" s="99" t="s">
        <v>734</v>
      </c>
    </row>
    <row r="23" customFormat="false" ht="33.75" hidden="false" customHeight="true" outlineLevel="0" collapsed="false">
      <c r="A23" s="103" t="s">
        <v>285</v>
      </c>
      <c r="B23" s="104" t="s">
        <v>286</v>
      </c>
      <c r="C23" s="103" t="n">
        <v>5</v>
      </c>
      <c r="D23" s="103" t="n">
        <v>0.02</v>
      </c>
      <c r="E23" s="103" t="n">
        <v>2555</v>
      </c>
      <c r="F23" s="105" t="n">
        <v>0.05</v>
      </c>
      <c r="G23" s="105" t="n">
        <v>0.15</v>
      </c>
      <c r="H23" s="64" t="n">
        <f aca="false">$C23+$D23*05_Params!$B$4*POWER(1+$G23,05_Params!$B$13/12)*MIN($E23,05_Params!$B$13*30.44)*(1+$F23)</f>
        <v>13.821512</v>
      </c>
      <c r="I23" s="64" t="n">
        <f aca="false">$C23+$D23*05_Params!$B$4*POWER(1+$G23,05_Params!$B$14/12)*MIN($E23,05_Params!$B$14*30.44)*(1+$F23)</f>
        <v>25.2894776</v>
      </c>
      <c r="J23" s="64" t="n">
        <f aca="false">$C23+$D23*05_Params!$B$4*POWER(1+$G23,05_Params!$B$15/12)*MIN($E23,05_Params!$B$15*30.44)*(1+$F23)</f>
        <v>39.99934886</v>
      </c>
      <c r="K23" s="64" t="n">
        <f aca="false">$C23+$D23*05_Params!$B$4*POWER(1+$G23,05_Params!$B$16/12)*MIN($E23,05_Params!$B$16*30.44)*(1+$F23)</f>
        <v>82.14439811225</v>
      </c>
      <c r="L23" s="83" t="n">
        <f aca="false">IFERROR(INDEX(05_Params!$G$4:$G$23,COUNTIF(05_Params!$G$4:$G$23,"&lt;"&amp;K23/(1-05_Params!$B$8))+1),CEILING(K23/(1-05_Params!$B$8),64))</f>
        <v>150</v>
      </c>
      <c r="M23" s="99" t="s">
        <v>734</v>
      </c>
    </row>
    <row r="24" customFormat="false" ht="33.75" hidden="false" customHeight="true" outlineLevel="0" collapsed="false">
      <c r="A24" s="106" t="s">
        <v>292</v>
      </c>
      <c r="B24" s="107" t="s">
        <v>293</v>
      </c>
      <c r="C24" s="106" t="n">
        <v>20</v>
      </c>
      <c r="D24" s="106" t="n">
        <v>0.1</v>
      </c>
      <c r="E24" s="106" t="n">
        <v>90</v>
      </c>
      <c r="F24" s="108" t="n">
        <v>0.05</v>
      </c>
      <c r="G24" s="108" t="n">
        <v>0.15</v>
      </c>
      <c r="H24" s="68" t="n">
        <f aca="false">$C24+$D24*05_Params!$B$4*POWER(1+$G24,05_Params!$B$13/12)*MIN($E24,05_Params!$B$13*30.44)*(1+$F24)</f>
        <v>30.8675</v>
      </c>
      <c r="I24" s="68" t="n">
        <f aca="false">$C24+$D24*05_Params!$B$4*POWER(1+$G24,05_Params!$B$14/12)*MIN($E24,05_Params!$B$14*30.44)*(1+$F24)</f>
        <v>32.497625</v>
      </c>
      <c r="J24" s="68" t="n">
        <f aca="false">$C24+$D24*05_Params!$B$4*POWER(1+$G24,05_Params!$B$15/12)*MIN($E24,05_Params!$B$15*30.44)*(1+$F24)</f>
        <v>34.37226875</v>
      </c>
      <c r="K24" s="68" t="n">
        <f aca="false">$C24+$D24*05_Params!$B$4*POWER(1+$G24,05_Params!$B$16/12)*MIN($E24,05_Params!$B$16*30.44)*(1+$F24)</f>
        <v>39.007325421875</v>
      </c>
      <c r="L24" s="83" t="n">
        <f aca="false">IFERROR(INDEX(05_Params!$G$4:$G$23,COUNTIF(05_Params!$G$4:$G$23,"&lt;"&amp;K24/(1-05_Params!$B$8))+1),CEILING(K24/(1-05_Params!$B$8),64))</f>
        <v>60</v>
      </c>
      <c r="M24" s="99" t="s">
        <v>734</v>
      </c>
    </row>
    <row r="25" customFormat="false" ht="33.75" hidden="false" customHeight="true" outlineLevel="0" collapsed="false">
      <c r="A25" s="106" t="s">
        <v>299</v>
      </c>
      <c r="B25" s="107" t="s">
        <v>300</v>
      </c>
      <c r="C25" s="106" t="n">
        <v>40</v>
      </c>
      <c r="D25" s="106" t="n">
        <v>0.15</v>
      </c>
      <c r="E25" s="106" t="n">
        <v>90</v>
      </c>
      <c r="F25" s="108" t="n">
        <v>0.05</v>
      </c>
      <c r="G25" s="108" t="n">
        <v>0.15</v>
      </c>
      <c r="H25" s="68" t="n">
        <f aca="false">$C25+$D25*05_Params!$B$4*POWER(1+$G25,05_Params!$B$13/12)*MIN($E25,05_Params!$B$13*30.44)*(1+$F25)</f>
        <v>56.30125</v>
      </c>
      <c r="I25" s="68" t="n">
        <f aca="false">$C25+$D25*05_Params!$B$4*POWER(1+$G25,05_Params!$B$14/12)*MIN($E25,05_Params!$B$14*30.44)*(1+$F25)</f>
        <v>58.7464375</v>
      </c>
      <c r="J25" s="68" t="n">
        <f aca="false">$C25+$D25*05_Params!$B$4*POWER(1+$G25,05_Params!$B$15/12)*MIN($E25,05_Params!$B$15*30.44)*(1+$F25)</f>
        <v>61.558403125</v>
      </c>
      <c r="K25" s="68" t="n">
        <f aca="false">$C25+$D25*05_Params!$B$4*POWER(1+$G25,05_Params!$B$16/12)*MIN($E25,05_Params!$B$16*30.44)*(1+$F25)</f>
        <v>68.5109881328125</v>
      </c>
      <c r="L25" s="83" t="n">
        <f aca="false">IFERROR(INDEX(05_Params!$G$4:$G$23,COUNTIF(05_Params!$G$4:$G$23,"&lt;"&amp;K25/(1-05_Params!$B$8))+1),CEILING(K25/(1-05_Params!$B$8),64))</f>
        <v>100</v>
      </c>
      <c r="M25" s="99" t="s">
        <v>734</v>
      </c>
    </row>
    <row r="26" customFormat="false" ht="33.75" hidden="false" customHeight="true" outlineLevel="0" collapsed="false">
      <c r="A26" s="106" t="s">
        <v>308</v>
      </c>
      <c r="B26" s="107" t="s">
        <v>309</v>
      </c>
      <c r="C26" s="106" t="n">
        <v>20</v>
      </c>
      <c r="D26" s="106" t="n">
        <v>0.15</v>
      </c>
      <c r="E26" s="106" t="n">
        <v>730</v>
      </c>
      <c r="F26" s="108" t="n">
        <v>0.1</v>
      </c>
      <c r="G26" s="108" t="n">
        <v>0.15</v>
      </c>
      <c r="H26" s="68" t="n">
        <f aca="false">$C26+$D26*05_Params!$B$4*POWER(1+$G26,05_Params!$B$13/12)*MIN($E26,05_Params!$B$13*30.44)*(1+$F26)</f>
        <v>89.31188</v>
      </c>
      <c r="I26" s="68" t="n">
        <f aca="false">$C26+$D26*05_Params!$B$4*POWER(1+$G26,05_Params!$B$14/12)*MIN($E26,05_Params!$B$14*30.44)*(1+$F26)</f>
        <v>179.295125</v>
      </c>
      <c r="J26" s="68" t="n">
        <f aca="false">$C26+$D26*05_Params!$B$4*POWER(1+$G26,05_Params!$B$15/12)*MIN($E26,05_Params!$B$15*30.44)*(1+$F26)</f>
        <v>203.18939375</v>
      </c>
      <c r="K26" s="68" t="n">
        <f aca="false">$C26+$D26*05_Params!$B$4*POWER(1+$G26,05_Params!$B$16/12)*MIN($E26,05_Params!$B$16*30.44)*(1+$F26)</f>
        <v>262.267973234375</v>
      </c>
      <c r="L26" s="83" t="n">
        <f aca="false">IFERROR(INDEX(05_Params!$G$4:$G$23,COUNTIF(05_Params!$G$4:$G$23,"&lt;"&amp;K26/(1-05_Params!$B$8))+1),CEILING(K26/(1-05_Params!$B$8),64))</f>
        <v>500</v>
      </c>
      <c r="M26" s="99" t="s">
        <v>740</v>
      </c>
    </row>
    <row r="27" customFormat="false" ht="33.75" hidden="false" customHeight="true" outlineLevel="0" collapsed="false">
      <c r="A27" s="106" t="s">
        <v>317</v>
      </c>
      <c r="B27" s="107" t="s">
        <v>318</v>
      </c>
      <c r="C27" s="106" t="n">
        <v>10</v>
      </c>
      <c r="D27" s="106" t="n">
        <v>0.05</v>
      </c>
      <c r="E27" s="106" t="n">
        <v>365</v>
      </c>
      <c r="F27" s="108" t="n">
        <v>0.05</v>
      </c>
      <c r="G27" s="108" t="n">
        <v>0.15</v>
      </c>
      <c r="H27" s="68" t="n">
        <f aca="false">$C27+$D27*05_Params!$B$4*POWER(1+$G27,05_Params!$B$13/12)*MIN($E27,05_Params!$B$13*30.44)*(1+$F27)</f>
        <v>32.036875</v>
      </c>
      <c r="I27" s="68" t="n">
        <f aca="false">$C27+$D27*05_Params!$B$4*POWER(1+$G27,05_Params!$B$14/12)*MIN($E27,05_Params!$B$14*30.44)*(1+$F27)</f>
        <v>35.34240625</v>
      </c>
      <c r="J27" s="68" t="n">
        <f aca="false">$C27+$D27*05_Params!$B$4*POWER(1+$G27,05_Params!$B$15/12)*MIN($E27,05_Params!$B$15*30.44)*(1+$F27)</f>
        <v>39.1437671875</v>
      </c>
      <c r="K27" s="68" t="n">
        <f aca="false">$C27+$D27*05_Params!$B$4*POWER(1+$G27,05_Params!$B$16/12)*MIN($E27,05_Params!$B$16*30.44)*(1+$F27)</f>
        <v>48.5426321054687</v>
      </c>
      <c r="L27" s="83" t="n">
        <f aca="false">IFERROR(INDEX(05_Params!$G$4:$G$23,COUNTIF(05_Params!$G$4:$G$23,"&lt;"&amp;K27/(1-05_Params!$B$8))+1),CEILING(K27/(1-05_Params!$B$8),64))</f>
        <v>80</v>
      </c>
      <c r="M27" s="99" t="s">
        <v>734</v>
      </c>
    </row>
    <row r="28" customFormat="false" ht="33.75" hidden="false" customHeight="true" outlineLevel="0" collapsed="false">
      <c r="A28" s="106" t="s">
        <v>325</v>
      </c>
      <c r="B28" s="107" t="s">
        <v>326</v>
      </c>
      <c r="C28" s="106" t="n">
        <v>20</v>
      </c>
      <c r="D28" s="106" t="n">
        <v>0.05</v>
      </c>
      <c r="E28" s="106" t="n">
        <v>365</v>
      </c>
      <c r="F28" s="108" t="n">
        <v>0.1</v>
      </c>
      <c r="G28" s="108" t="n">
        <v>0.15</v>
      </c>
      <c r="H28" s="68" t="n">
        <f aca="false">$C28+$D28*05_Params!$B$4*POWER(1+$G28,05_Params!$B$13/12)*MIN($E28,05_Params!$B$13*30.44)*(1+$F28)</f>
        <v>43.08625</v>
      </c>
      <c r="I28" s="68" t="n">
        <f aca="false">$C28+$D28*05_Params!$B$4*POWER(1+$G28,05_Params!$B$14/12)*MIN($E28,05_Params!$B$14*30.44)*(1+$F28)</f>
        <v>46.5491875</v>
      </c>
      <c r="J28" s="68" t="n">
        <f aca="false">$C28+$D28*05_Params!$B$4*POWER(1+$G28,05_Params!$B$15/12)*MIN($E28,05_Params!$B$15*30.44)*(1+$F28)</f>
        <v>50.531565625</v>
      </c>
      <c r="K28" s="68" t="n">
        <f aca="false">$C28+$D28*05_Params!$B$4*POWER(1+$G28,05_Params!$B$16/12)*MIN($E28,05_Params!$B$16*30.44)*(1+$F28)</f>
        <v>60.3779955390625</v>
      </c>
      <c r="L28" s="83" t="n">
        <f aca="false">IFERROR(INDEX(05_Params!$G$4:$G$23,COUNTIF(05_Params!$G$4:$G$23,"&lt;"&amp;K28/(1-05_Params!$B$8))+1),CEILING(K28/(1-05_Params!$B$8),64))</f>
        <v>100</v>
      </c>
      <c r="M28" s="99" t="s">
        <v>734</v>
      </c>
    </row>
    <row r="29" customFormat="false" ht="33.75" hidden="false" customHeight="true" outlineLevel="0" collapsed="false">
      <c r="A29" s="106" t="s">
        <v>335</v>
      </c>
      <c r="B29" s="107" t="s">
        <v>336</v>
      </c>
      <c r="C29" s="106" t="n">
        <v>15</v>
      </c>
      <c r="D29" s="106" t="n">
        <v>0.05</v>
      </c>
      <c r="E29" s="106" t="n">
        <v>365</v>
      </c>
      <c r="F29" s="108" t="n">
        <v>0.05</v>
      </c>
      <c r="G29" s="108" t="n">
        <v>0.1</v>
      </c>
      <c r="H29" s="68" t="n">
        <f aca="false">$C29+$D29*05_Params!$B$4*POWER(1+$G29,05_Params!$B$13/12)*MIN($E29,05_Params!$B$13*30.44)*(1+$F29)</f>
        <v>36.07875</v>
      </c>
      <c r="I29" s="68" t="n">
        <f aca="false">$C29+$D29*05_Params!$B$4*POWER(1+$G29,05_Params!$B$14/12)*MIN($E29,05_Params!$B$14*30.44)*(1+$F29)</f>
        <v>38.186625</v>
      </c>
      <c r="J29" s="68" t="n">
        <f aca="false">$C29+$D29*05_Params!$B$4*POWER(1+$G29,05_Params!$B$15/12)*MIN($E29,05_Params!$B$15*30.44)*(1+$F29)</f>
        <v>40.5052875</v>
      </c>
      <c r="K29" s="68" t="n">
        <f aca="false">$C29+$D29*05_Params!$B$4*POWER(1+$G29,05_Params!$B$16/12)*MIN($E29,05_Params!$B$16*30.44)*(1+$F29)</f>
        <v>45.861397875</v>
      </c>
      <c r="L29" s="83" t="n">
        <f aca="false">IFERROR(INDEX(05_Params!$G$4:$G$23,COUNTIF(05_Params!$G$4:$G$23,"&lt;"&amp;K29/(1-05_Params!$B$8))+1),CEILING(K29/(1-05_Params!$B$8),64))</f>
        <v>80</v>
      </c>
      <c r="M29" s="99" t="s">
        <v>734</v>
      </c>
    </row>
    <row r="30" customFormat="false" ht="33.75" hidden="false" customHeight="true" outlineLevel="0" collapsed="false">
      <c r="A30" s="106" t="s">
        <v>344</v>
      </c>
      <c r="B30" s="107" t="s">
        <v>345</v>
      </c>
      <c r="C30" s="106" t="n">
        <v>5</v>
      </c>
      <c r="D30" s="106" t="n">
        <v>0.01</v>
      </c>
      <c r="E30" s="106" t="n">
        <v>365</v>
      </c>
      <c r="F30" s="108" t="n">
        <v>0.05</v>
      </c>
      <c r="G30" s="108" t="n">
        <v>0.1</v>
      </c>
      <c r="H30" s="68" t="n">
        <f aca="false">$C30+$D30*05_Params!$B$4*POWER(1+$G30,05_Params!$B$13/12)*MIN($E30,05_Params!$B$13*30.44)*(1+$F30)</f>
        <v>9.21575</v>
      </c>
      <c r="I30" s="68" t="n">
        <f aca="false">$C30+$D30*05_Params!$B$4*POWER(1+$G30,05_Params!$B$14/12)*MIN($E30,05_Params!$B$14*30.44)*(1+$F30)</f>
        <v>9.637325</v>
      </c>
      <c r="J30" s="68" t="n">
        <f aca="false">$C30+$D30*05_Params!$B$4*POWER(1+$G30,05_Params!$B$15/12)*MIN($E30,05_Params!$B$15*30.44)*(1+$F30)</f>
        <v>10.1010575</v>
      </c>
      <c r="K30" s="68" t="n">
        <f aca="false">$C30+$D30*05_Params!$B$4*POWER(1+$G30,05_Params!$B$16/12)*MIN($E30,05_Params!$B$16*30.44)*(1+$F30)</f>
        <v>11.172279575</v>
      </c>
      <c r="L30" s="83" t="n">
        <f aca="false">IFERROR(INDEX(05_Params!$G$4:$G$23,COUNTIF(05_Params!$G$4:$G$23,"&lt;"&amp;K30/(1-05_Params!$B$8))+1),CEILING(K30/(1-05_Params!$B$8),64))</f>
        <v>20</v>
      </c>
      <c r="M30" s="99" t="s">
        <v>734</v>
      </c>
    </row>
    <row r="31" customFormat="false" ht="33.75" hidden="false" customHeight="true" outlineLevel="0" collapsed="false">
      <c r="A31" s="109" t="s">
        <v>353</v>
      </c>
      <c r="B31" s="110" t="s">
        <v>354</v>
      </c>
      <c r="C31" s="109" t="n">
        <v>60</v>
      </c>
      <c r="D31" s="109" t="n">
        <v>1</v>
      </c>
      <c r="E31" s="109" t="n">
        <v>180</v>
      </c>
      <c r="F31" s="111" t="n">
        <v>0.2</v>
      </c>
      <c r="G31" s="111" t="n">
        <v>0.25</v>
      </c>
      <c r="H31" s="72" t="n">
        <f aca="false">$C31+$D31*05_Params!$B$4*POWER(1+$G31,05_Params!$B$13/12)*MIN($E31,05_Params!$B$13*30.44)*(1+$F31)</f>
        <v>330</v>
      </c>
      <c r="I31" s="72" t="n">
        <f aca="false">$C31+$D31*05_Params!$B$4*POWER(1+$G31,05_Params!$B$14/12)*MIN($E31,05_Params!$B$14*30.44)*(1+$F31)</f>
        <v>397.5</v>
      </c>
      <c r="J31" s="72" t="n">
        <f aca="false">$C31+$D31*05_Params!$B$4*POWER(1+$G31,05_Params!$B$15/12)*MIN($E31,05_Params!$B$15*30.44)*(1+$F31)</f>
        <v>481.875</v>
      </c>
      <c r="K31" s="72" t="n">
        <f aca="false">$C31+$D31*05_Params!$B$4*POWER(1+$G31,05_Params!$B$16/12)*MIN($E31,05_Params!$B$16*30.44)*(1+$F31)</f>
        <v>719.1796875</v>
      </c>
      <c r="L31" s="83" t="n">
        <f aca="false">IFERROR(INDEX(05_Params!$G$4:$G$23,COUNTIF(05_Params!$G$4:$G$23,"&lt;"&amp;K31/(1-05_Params!$B$8))+1),CEILING(K31/(1-05_Params!$B$8),64))</f>
        <v>1000</v>
      </c>
      <c r="M31" s="99" t="s">
        <v>741</v>
      </c>
    </row>
    <row r="32" customFormat="false" ht="33.75" hidden="false" customHeight="true" outlineLevel="0" collapsed="false">
      <c r="A32" s="109" t="s">
        <v>362</v>
      </c>
      <c r="B32" s="110" t="s">
        <v>363</v>
      </c>
      <c r="C32" s="109" t="n">
        <v>20</v>
      </c>
      <c r="D32" s="109" t="n">
        <v>1</v>
      </c>
      <c r="E32" s="109" t="n">
        <v>180</v>
      </c>
      <c r="F32" s="111" t="n">
        <v>0.15</v>
      </c>
      <c r="G32" s="111" t="n">
        <v>0.25</v>
      </c>
      <c r="H32" s="72" t="n">
        <f aca="false">$C32+$D32*05_Params!$B$4*POWER(1+$G32,05_Params!$B$13/12)*MIN($E32,05_Params!$B$13*30.44)*(1+$F32)</f>
        <v>278.75</v>
      </c>
      <c r="I32" s="72" t="n">
        <f aca="false">$C32+$D32*05_Params!$B$4*POWER(1+$G32,05_Params!$B$14/12)*MIN($E32,05_Params!$B$14*30.44)*(1+$F32)</f>
        <v>343.4375</v>
      </c>
      <c r="J32" s="72" t="n">
        <f aca="false">$C32+$D32*05_Params!$B$4*POWER(1+$G32,05_Params!$B$15/12)*MIN($E32,05_Params!$B$15*30.44)*(1+$F32)</f>
        <v>424.296875</v>
      </c>
      <c r="K32" s="72" t="n">
        <f aca="false">$C32+$D32*05_Params!$B$4*POWER(1+$G32,05_Params!$B$16/12)*MIN($E32,05_Params!$B$16*30.44)*(1+$F32)</f>
        <v>651.7138671875</v>
      </c>
      <c r="L32" s="83" t="n">
        <f aca="false">IFERROR(INDEX(05_Params!$G$4:$G$23,COUNTIF(05_Params!$G$4:$G$23,"&lt;"&amp;K32/(1-05_Params!$B$8))+1),CEILING(K32/(1-05_Params!$B$8),64))</f>
        <v>1000</v>
      </c>
      <c r="M32" s="99" t="s">
        <v>742</v>
      </c>
    </row>
    <row r="33" customFormat="false" ht="33.75" hidden="false" customHeight="true" outlineLevel="0" collapsed="false">
      <c r="A33" s="109" t="s">
        <v>373</v>
      </c>
      <c r="B33" s="110" t="s">
        <v>374</v>
      </c>
      <c r="C33" s="109" t="n">
        <v>40</v>
      </c>
      <c r="D33" s="109" t="n">
        <v>1.5</v>
      </c>
      <c r="E33" s="109" t="n">
        <v>90</v>
      </c>
      <c r="F33" s="111" t="n">
        <v>0.45</v>
      </c>
      <c r="G33" s="111" t="n">
        <v>0.3</v>
      </c>
      <c r="H33" s="72" t="n">
        <f aca="false">$C33+$D33*05_Params!$B$4*POWER(1+$G33,05_Params!$B$13/12)*MIN($E33,05_Params!$B$13*30.44)*(1+$F33)</f>
        <v>294.475</v>
      </c>
      <c r="I33" s="72" t="n">
        <f aca="false">$C33+$D33*05_Params!$B$4*POWER(1+$G33,05_Params!$B$14/12)*MIN($E33,05_Params!$B$14*30.44)*(1+$F33)</f>
        <v>370.8175</v>
      </c>
      <c r="J33" s="72" t="n">
        <f aca="false">$C33+$D33*05_Params!$B$4*POWER(1+$G33,05_Params!$B$15/12)*MIN($E33,05_Params!$B$15*30.44)*(1+$F33)</f>
        <v>470.06275</v>
      </c>
      <c r="K33" s="72" t="n">
        <f aca="false">$C33+$D33*05_Params!$B$4*POWER(1+$G33,05_Params!$B$16/12)*MIN($E33,05_Params!$B$16*30.44)*(1+$F33)</f>
        <v>766.8060475</v>
      </c>
      <c r="L33" s="83" t="n">
        <f aca="false">IFERROR(INDEX(05_Params!$G$4:$G$23,COUNTIF(05_Params!$G$4:$G$23,"&lt;"&amp;K33/(1-05_Params!$B$8))+1),CEILING(K33/(1-05_Params!$B$8),64))</f>
        <v>1500</v>
      </c>
      <c r="M33" s="99" t="s">
        <v>743</v>
      </c>
    </row>
    <row r="34" customFormat="false" ht="33.75" hidden="false" customHeight="true" outlineLevel="0" collapsed="false">
      <c r="A34" s="109" t="s">
        <v>384</v>
      </c>
      <c r="B34" s="110" t="s">
        <v>385</v>
      </c>
      <c r="C34" s="109" t="n">
        <v>15</v>
      </c>
      <c r="D34" s="109" t="n">
        <v>0.1</v>
      </c>
      <c r="E34" s="109" t="n">
        <v>30</v>
      </c>
      <c r="F34" s="111" t="n">
        <v>0.05</v>
      </c>
      <c r="G34" s="111" t="n">
        <v>0.2</v>
      </c>
      <c r="H34" s="72" t="n">
        <f aca="false">$C34+$D34*05_Params!$B$4*POWER(1+$G34,05_Params!$B$13/12)*MIN($E34,05_Params!$B$13*30.44)*(1+$F34)</f>
        <v>18.78</v>
      </c>
      <c r="I34" s="72" t="n">
        <f aca="false">$C34+$D34*05_Params!$B$4*POWER(1+$G34,05_Params!$B$14/12)*MIN($E34,05_Params!$B$14*30.44)*(1+$F34)</f>
        <v>19.536</v>
      </c>
      <c r="J34" s="72" t="n">
        <f aca="false">$C34+$D34*05_Params!$B$4*POWER(1+$G34,05_Params!$B$15/12)*MIN($E34,05_Params!$B$15*30.44)*(1+$F34)</f>
        <v>20.4432</v>
      </c>
      <c r="K34" s="72" t="n">
        <f aca="false">$C34+$D34*05_Params!$B$4*POWER(1+$G34,05_Params!$B$16/12)*MIN($E34,05_Params!$B$16*30.44)*(1+$F34)</f>
        <v>22.838208</v>
      </c>
      <c r="L34" s="83" t="n">
        <f aca="false">IFERROR(INDEX(05_Params!$G$4:$G$23,COUNTIF(05_Params!$G$4:$G$23,"&lt;"&amp;K34/(1-05_Params!$B$8))+1),CEILING(K34/(1-05_Params!$B$8),64))</f>
        <v>40</v>
      </c>
      <c r="M34" s="99" t="s">
        <v>734</v>
      </c>
    </row>
    <row r="35" customFormat="false" ht="33.75" hidden="false" customHeight="true" outlineLevel="0" collapsed="false">
      <c r="A35" s="109" t="s">
        <v>392</v>
      </c>
      <c r="B35" s="110" t="s">
        <v>393</v>
      </c>
      <c r="C35" s="109" t="n">
        <v>10</v>
      </c>
      <c r="D35" s="109" t="n">
        <v>0.05</v>
      </c>
      <c r="E35" s="109" t="n">
        <v>90</v>
      </c>
      <c r="F35" s="111" t="n">
        <v>0.05</v>
      </c>
      <c r="G35" s="111" t="n">
        <v>0.15</v>
      </c>
      <c r="H35" s="72" t="n">
        <f aca="false">$C35+$D35*05_Params!$B$4*POWER(1+$G35,05_Params!$B$13/12)*MIN($E35,05_Params!$B$13*30.44)*(1+$F35)</f>
        <v>15.43375</v>
      </c>
      <c r="I35" s="72" t="n">
        <f aca="false">$C35+$D35*05_Params!$B$4*POWER(1+$G35,05_Params!$B$14/12)*MIN($E35,05_Params!$B$14*30.44)*(1+$F35)</f>
        <v>16.2488125</v>
      </c>
      <c r="J35" s="72" t="n">
        <f aca="false">$C35+$D35*05_Params!$B$4*POWER(1+$G35,05_Params!$B$15/12)*MIN($E35,05_Params!$B$15*30.44)*(1+$F35)</f>
        <v>17.186134375</v>
      </c>
      <c r="K35" s="72" t="n">
        <f aca="false">$C35+$D35*05_Params!$B$4*POWER(1+$G35,05_Params!$B$16/12)*MIN($E35,05_Params!$B$16*30.44)*(1+$F35)</f>
        <v>19.5036627109375</v>
      </c>
      <c r="L35" s="83" t="n">
        <f aca="false">IFERROR(INDEX(05_Params!$G$4:$G$23,COUNTIF(05_Params!$G$4:$G$23,"&lt;"&amp;K35/(1-05_Params!$B$8))+1),CEILING(K35/(1-05_Params!$B$8),64))</f>
        <v>40</v>
      </c>
      <c r="M35" s="99" t="s">
        <v>734</v>
      </c>
    </row>
    <row r="36" customFormat="false" ht="33.75" hidden="false" customHeight="true" outlineLevel="0" collapsed="false">
      <c r="A36" s="109" t="s">
        <v>398</v>
      </c>
      <c r="B36" s="110" t="s">
        <v>399</v>
      </c>
      <c r="C36" s="109" t="n">
        <v>5</v>
      </c>
      <c r="D36" s="109" t="n">
        <v>0.02</v>
      </c>
      <c r="E36" s="109" t="n">
        <v>7</v>
      </c>
      <c r="F36" s="111" t="n">
        <v>0.05</v>
      </c>
      <c r="G36" s="111" t="n">
        <v>0.2</v>
      </c>
      <c r="H36" s="72" t="n">
        <f aca="false">$C36+$D36*05_Params!$B$4*POWER(1+$G36,05_Params!$B$13/12)*MIN($E36,05_Params!$B$13*30.44)*(1+$F36)</f>
        <v>5.1764</v>
      </c>
      <c r="I36" s="72" t="n">
        <f aca="false">$C36+$D36*05_Params!$B$4*POWER(1+$G36,05_Params!$B$14/12)*MIN($E36,05_Params!$B$14*30.44)*(1+$F36)</f>
        <v>5.21168</v>
      </c>
      <c r="J36" s="72" t="n">
        <f aca="false">$C36+$D36*05_Params!$B$4*POWER(1+$G36,05_Params!$B$15/12)*MIN($E36,05_Params!$B$15*30.44)*(1+$F36)</f>
        <v>5.254016</v>
      </c>
      <c r="K36" s="72" t="n">
        <f aca="false">$C36+$D36*05_Params!$B$4*POWER(1+$G36,05_Params!$B$16/12)*MIN($E36,05_Params!$B$16*30.44)*(1+$F36)</f>
        <v>5.36578304</v>
      </c>
      <c r="L36" s="83" t="n">
        <f aca="false">IFERROR(INDEX(05_Params!$G$4:$G$23,COUNTIF(05_Params!$G$4:$G$23,"&lt;"&amp;K36/(1-05_Params!$B$8))+1),CEILING(K36/(1-05_Params!$B$8),64))</f>
        <v>20</v>
      </c>
      <c r="M36" s="99" t="s">
        <v>734</v>
      </c>
    </row>
    <row r="37" customFormat="false" ht="33.75" hidden="false" customHeight="true" outlineLevel="0" collapsed="false">
      <c r="A37" s="109" t="s">
        <v>404</v>
      </c>
      <c r="B37" s="110" t="s">
        <v>405</v>
      </c>
      <c r="C37" s="109" t="n">
        <v>50</v>
      </c>
      <c r="D37" s="109" t="n">
        <v>1</v>
      </c>
      <c r="E37" s="109" t="n">
        <v>90</v>
      </c>
      <c r="F37" s="111" t="n">
        <v>0.4</v>
      </c>
      <c r="G37" s="111" t="n">
        <v>0.3</v>
      </c>
      <c r="H37" s="72" t="n">
        <f aca="false">$C37+$D37*05_Params!$B$4*POWER(1+$G37,05_Params!$B$13/12)*MIN($E37,05_Params!$B$13*30.44)*(1+$F37)</f>
        <v>213.8</v>
      </c>
      <c r="I37" s="72" t="n">
        <f aca="false">$C37+$D37*05_Params!$B$4*POWER(1+$G37,05_Params!$B$14/12)*MIN($E37,05_Params!$B$14*30.44)*(1+$F37)</f>
        <v>262.94</v>
      </c>
      <c r="J37" s="72" t="n">
        <f aca="false">$C37+$D37*05_Params!$B$4*POWER(1+$G37,05_Params!$B$15/12)*MIN($E37,05_Params!$B$15*30.44)*(1+$F37)</f>
        <v>326.822</v>
      </c>
      <c r="K37" s="72" t="n">
        <f aca="false">$C37+$D37*05_Params!$B$4*POWER(1+$G37,05_Params!$B$16/12)*MIN($E37,05_Params!$B$16*30.44)*(1+$F37)</f>
        <v>517.82918</v>
      </c>
      <c r="L37" s="83" t="n">
        <f aca="false">IFERROR(INDEX(05_Params!$G$4:$G$23,COUNTIF(05_Params!$G$4:$G$23,"&lt;"&amp;K37/(1-05_Params!$B$8))+1),CEILING(K37/(1-05_Params!$B$8),64))</f>
        <v>750</v>
      </c>
      <c r="M37" s="99" t="s">
        <v>744</v>
      </c>
    </row>
    <row r="38" customFormat="false" ht="33.75" hidden="false" customHeight="true" outlineLevel="0" collapsed="false">
      <c r="A38" s="109" t="s">
        <v>412</v>
      </c>
      <c r="B38" s="110" t="s">
        <v>413</v>
      </c>
      <c r="C38" s="109" t="n">
        <v>20</v>
      </c>
      <c r="D38" s="109" t="n">
        <v>0.05</v>
      </c>
      <c r="E38" s="109" t="n">
        <v>2555</v>
      </c>
      <c r="F38" s="111" t="n">
        <v>0.1</v>
      </c>
      <c r="G38" s="111" t="n">
        <v>0.15</v>
      </c>
      <c r="H38" s="72" t="n">
        <f aca="false">$C38+$D38*05_Params!$B$4*POWER(1+$G38,05_Params!$B$13/12)*MIN($E38,05_Params!$B$13*30.44)*(1+$F38)</f>
        <v>43.10396</v>
      </c>
      <c r="I38" s="72" t="n">
        <f aca="false">$C38+$D38*05_Params!$B$4*POWER(1+$G38,05_Params!$B$14/12)*MIN($E38,05_Params!$B$14*30.44)*(1+$F38)</f>
        <v>73.139108</v>
      </c>
      <c r="J38" s="72" t="n">
        <f aca="false">$C38+$D38*05_Params!$B$4*POWER(1+$G38,05_Params!$B$15/12)*MIN($E38,05_Params!$B$15*30.44)*(1+$F38)</f>
        <v>111.6649613</v>
      </c>
      <c r="K38" s="72" t="n">
        <f aca="false">$C38+$D38*05_Params!$B$4*POWER(1+$G38,05_Params!$B$16/12)*MIN($E38,05_Params!$B$16*30.44)*(1+$F38)</f>
        <v>222.04485219875</v>
      </c>
      <c r="L38" s="83" t="n">
        <f aca="false">IFERROR(INDEX(05_Params!$G$4:$G$23,COUNTIF(05_Params!$G$4:$G$23,"&lt;"&amp;K38/(1-05_Params!$B$8))+1),CEILING(K38/(1-05_Params!$B$8),64))</f>
        <v>300</v>
      </c>
      <c r="M38" s="99" t="s">
        <v>734</v>
      </c>
    </row>
    <row r="39" customFormat="false" ht="33.75" hidden="false" customHeight="true" outlineLevel="0" collapsed="false">
      <c r="A39" s="112" t="s">
        <v>422</v>
      </c>
      <c r="B39" s="113" t="s">
        <v>423</v>
      </c>
      <c r="C39" s="112" t="n">
        <v>40</v>
      </c>
      <c r="D39" s="112" t="n">
        <v>0.3</v>
      </c>
      <c r="E39" s="112" t="n">
        <v>90</v>
      </c>
      <c r="F39" s="114" t="n">
        <v>0.15</v>
      </c>
      <c r="G39" s="114" t="n">
        <v>0.2</v>
      </c>
      <c r="H39" s="76" t="n">
        <f aca="false">$C39+$D39*05_Params!$B$4*POWER(1+$G39,05_Params!$B$13/12)*MIN($E39,05_Params!$B$13*30.44)*(1+$F39)</f>
        <v>77.26</v>
      </c>
      <c r="I39" s="76" t="n">
        <f aca="false">$C39+$D39*05_Params!$B$4*POWER(1+$G39,05_Params!$B$14/12)*MIN($E39,05_Params!$B$14*30.44)*(1+$F39)</f>
        <v>84.712</v>
      </c>
      <c r="J39" s="76" t="n">
        <f aca="false">$C39+$D39*05_Params!$B$4*POWER(1+$G39,05_Params!$B$15/12)*MIN($E39,05_Params!$B$15*30.44)*(1+$F39)</f>
        <v>93.6544</v>
      </c>
      <c r="K39" s="76" t="n">
        <f aca="false">$C39+$D39*05_Params!$B$4*POWER(1+$G39,05_Params!$B$16/12)*MIN($E39,05_Params!$B$16*30.44)*(1+$F39)</f>
        <v>117.262336</v>
      </c>
      <c r="L39" s="83" t="n">
        <f aca="false">IFERROR(INDEX(05_Params!$G$4:$G$23,COUNTIF(05_Params!$G$4:$G$23,"&lt;"&amp;K39/(1-05_Params!$B$8))+1),CEILING(K39/(1-05_Params!$B$8),64))</f>
        <v>200</v>
      </c>
      <c r="M39" s="99" t="s">
        <v>734</v>
      </c>
    </row>
    <row r="40" customFormat="false" ht="33.75" hidden="false" customHeight="true" outlineLevel="0" collapsed="false">
      <c r="A40" s="112" t="s">
        <v>431</v>
      </c>
      <c r="B40" s="113" t="s">
        <v>432</v>
      </c>
      <c r="C40" s="112" t="n">
        <v>20</v>
      </c>
      <c r="D40" s="112" t="n">
        <v>0.1</v>
      </c>
      <c r="E40" s="112" t="n">
        <v>365</v>
      </c>
      <c r="F40" s="114" t="n">
        <v>0.1</v>
      </c>
      <c r="G40" s="114" t="n">
        <v>0.15</v>
      </c>
      <c r="H40" s="76" t="n">
        <f aca="false">$C40+$D40*05_Params!$B$4*POWER(1+$G40,05_Params!$B$13/12)*MIN($E40,05_Params!$B$13*30.44)*(1+$F40)</f>
        <v>66.1725</v>
      </c>
      <c r="I40" s="76" t="n">
        <f aca="false">$C40+$D40*05_Params!$B$4*POWER(1+$G40,05_Params!$B$14/12)*MIN($E40,05_Params!$B$14*30.44)*(1+$F40)</f>
        <v>73.098375</v>
      </c>
      <c r="J40" s="76" t="n">
        <f aca="false">$C40+$D40*05_Params!$B$4*POWER(1+$G40,05_Params!$B$15/12)*MIN($E40,05_Params!$B$15*30.44)*(1+$F40)</f>
        <v>81.06313125</v>
      </c>
      <c r="K40" s="76" t="n">
        <f aca="false">$C40+$D40*05_Params!$B$4*POWER(1+$G40,05_Params!$B$16/12)*MIN($E40,05_Params!$B$16*30.44)*(1+$F40)</f>
        <v>100.755991078125</v>
      </c>
      <c r="L40" s="83" t="n">
        <f aca="false">IFERROR(INDEX(05_Params!$G$4:$G$23,COUNTIF(05_Params!$G$4:$G$23,"&lt;"&amp;K40/(1-05_Params!$B$8))+1),CEILING(K40/(1-05_Params!$B$8),64))</f>
        <v>150</v>
      </c>
      <c r="M40" s="99" t="s">
        <v>734</v>
      </c>
    </row>
    <row r="41" customFormat="false" ht="33.75" hidden="false" customHeight="true" outlineLevel="0" collapsed="false">
      <c r="A41" s="112" t="s">
        <v>439</v>
      </c>
      <c r="B41" s="113" t="s">
        <v>440</v>
      </c>
      <c r="C41" s="112" t="n">
        <v>10</v>
      </c>
      <c r="D41" s="112" t="n">
        <v>0.3</v>
      </c>
      <c r="E41" s="112" t="n">
        <v>90</v>
      </c>
      <c r="F41" s="114" t="n">
        <v>0.2</v>
      </c>
      <c r="G41" s="114" t="n">
        <v>0.25</v>
      </c>
      <c r="H41" s="76" t="n">
        <f aca="false">$C41+$D41*05_Params!$B$4*POWER(1+$G41,05_Params!$B$13/12)*MIN($E41,05_Params!$B$13*30.44)*(1+$F41)</f>
        <v>50.5</v>
      </c>
      <c r="I41" s="76" t="n">
        <f aca="false">$C41+$D41*05_Params!$B$4*POWER(1+$G41,05_Params!$B$14/12)*MIN($E41,05_Params!$B$14*30.44)*(1+$F41)</f>
        <v>60.625</v>
      </c>
      <c r="J41" s="76" t="n">
        <f aca="false">$C41+$D41*05_Params!$B$4*POWER(1+$G41,05_Params!$B$15/12)*MIN($E41,05_Params!$B$15*30.44)*(1+$F41)</f>
        <v>73.28125</v>
      </c>
      <c r="K41" s="76" t="n">
        <f aca="false">$C41+$D41*05_Params!$B$4*POWER(1+$G41,05_Params!$B$16/12)*MIN($E41,05_Params!$B$16*30.44)*(1+$F41)</f>
        <v>108.876953125</v>
      </c>
      <c r="L41" s="83" t="n">
        <f aca="false">IFERROR(INDEX(05_Params!$G$4:$G$23,COUNTIF(05_Params!$G$4:$G$23,"&lt;"&amp;K41/(1-05_Params!$B$8))+1),CEILING(K41/(1-05_Params!$B$8),64))</f>
        <v>150</v>
      </c>
      <c r="M41" s="99" t="s">
        <v>745</v>
      </c>
    </row>
    <row r="42" customFormat="false" ht="33.75" hidden="false" customHeight="true" outlineLevel="0" collapsed="false">
      <c r="A42" s="112" t="s">
        <v>449</v>
      </c>
      <c r="B42" s="113" t="s">
        <v>450</v>
      </c>
      <c r="C42" s="112" t="n">
        <v>40</v>
      </c>
      <c r="D42" s="112" t="n">
        <v>0.8</v>
      </c>
      <c r="E42" s="112" t="n">
        <v>90</v>
      </c>
      <c r="F42" s="114" t="n">
        <v>0.1</v>
      </c>
      <c r="G42" s="114" t="n">
        <v>0.3</v>
      </c>
      <c r="H42" s="76" t="n">
        <f aca="false">$C42+$D42*05_Params!$B$4*POWER(1+$G42,05_Params!$B$13/12)*MIN($E42,05_Params!$B$13*30.44)*(1+$F42)</f>
        <v>142.96</v>
      </c>
      <c r="I42" s="76" t="n">
        <f aca="false">$C42+$D42*05_Params!$B$4*POWER(1+$G42,05_Params!$B$14/12)*MIN($E42,05_Params!$B$14*30.44)*(1+$F42)</f>
        <v>173.848</v>
      </c>
      <c r="J42" s="76" t="n">
        <f aca="false">$C42+$D42*05_Params!$B$4*POWER(1+$G42,05_Params!$B$15/12)*MIN($E42,05_Params!$B$15*30.44)*(1+$F42)</f>
        <v>214.0024</v>
      </c>
      <c r="K42" s="76" t="n">
        <f aca="false">$C42+$D42*05_Params!$B$4*POWER(1+$G42,05_Params!$B$16/12)*MIN($E42,05_Params!$B$16*30.44)*(1+$F42)</f>
        <v>334.064056</v>
      </c>
      <c r="L42" s="83" t="n">
        <f aca="false">IFERROR(INDEX(05_Params!$G$4:$G$23,COUNTIF(05_Params!$G$4:$G$23,"&lt;"&amp;K42/(1-05_Params!$B$8))+1),CEILING(K42/(1-05_Params!$B$8),64))</f>
        <v>500</v>
      </c>
      <c r="M42" s="99" t="s">
        <v>746</v>
      </c>
    </row>
    <row r="43" customFormat="false" ht="33.75" hidden="false" customHeight="true" outlineLevel="0" collapsed="false">
      <c r="A43" s="112" t="s">
        <v>459</v>
      </c>
      <c r="B43" s="113" t="s">
        <v>460</v>
      </c>
      <c r="C43" s="112" t="n">
        <v>10</v>
      </c>
      <c r="D43" s="112" t="n">
        <v>0.02</v>
      </c>
      <c r="E43" s="112" t="n">
        <v>365</v>
      </c>
      <c r="F43" s="114" t="n">
        <v>0.05</v>
      </c>
      <c r="G43" s="114" t="n">
        <v>0.15</v>
      </c>
      <c r="H43" s="76" t="n">
        <f aca="false">$C43+$D43*05_Params!$B$4*POWER(1+$G43,05_Params!$B$13/12)*MIN($E43,05_Params!$B$13*30.44)*(1+$F43)</f>
        <v>18.81475</v>
      </c>
      <c r="I43" s="76" t="n">
        <f aca="false">$C43+$D43*05_Params!$B$4*POWER(1+$G43,05_Params!$B$14/12)*MIN($E43,05_Params!$B$14*30.44)*(1+$F43)</f>
        <v>20.1369625</v>
      </c>
      <c r="J43" s="76" t="n">
        <f aca="false">$C43+$D43*05_Params!$B$4*POWER(1+$G43,05_Params!$B$15/12)*MIN($E43,05_Params!$B$15*30.44)*(1+$F43)</f>
        <v>21.657506875</v>
      </c>
      <c r="K43" s="76" t="n">
        <f aca="false">$C43+$D43*05_Params!$B$4*POWER(1+$G43,05_Params!$B$16/12)*MIN($E43,05_Params!$B$16*30.44)*(1+$F43)</f>
        <v>25.4170528421875</v>
      </c>
      <c r="L43" s="83" t="n">
        <f aca="false">IFERROR(INDEX(05_Params!$G$4:$G$23,COUNTIF(05_Params!$G$4:$G$23,"&lt;"&amp;K43/(1-05_Params!$B$8))+1),CEILING(K43/(1-05_Params!$B$8),64))</f>
        <v>40</v>
      </c>
      <c r="M43" s="99" t="s">
        <v>734</v>
      </c>
    </row>
    <row r="44" customFormat="false" ht="33.75" hidden="false" customHeight="true" outlineLevel="0" collapsed="false">
      <c r="A44" s="112" t="s">
        <v>468</v>
      </c>
      <c r="B44" s="113" t="s">
        <v>469</v>
      </c>
      <c r="C44" s="112" t="n">
        <v>30</v>
      </c>
      <c r="D44" s="112" t="n">
        <v>0.4</v>
      </c>
      <c r="E44" s="112" t="n">
        <v>365</v>
      </c>
      <c r="F44" s="114" t="n">
        <v>0.25</v>
      </c>
      <c r="G44" s="114" t="n">
        <v>0.2</v>
      </c>
      <c r="H44" s="76" t="n">
        <f aca="false">$C44+$D44*05_Params!$B$4*POWER(1+$G44,05_Params!$B$13/12)*MIN($E44,05_Params!$B$13*30.44)*(1+$F44)</f>
        <v>249</v>
      </c>
      <c r="I44" s="76" t="n">
        <f aca="false">$C44+$D44*05_Params!$B$4*POWER(1+$G44,05_Params!$B$14/12)*MIN($E44,05_Params!$B$14*30.44)*(1+$F44)</f>
        <v>292.8</v>
      </c>
      <c r="J44" s="76" t="n">
        <f aca="false">$C44+$D44*05_Params!$B$4*POWER(1+$G44,05_Params!$B$15/12)*MIN($E44,05_Params!$B$15*30.44)*(1+$F44)</f>
        <v>345.36</v>
      </c>
      <c r="K44" s="76" t="n">
        <f aca="false">$C44+$D44*05_Params!$B$4*POWER(1+$G44,05_Params!$B$16/12)*MIN($E44,05_Params!$B$16*30.44)*(1+$F44)</f>
        <v>484.1184</v>
      </c>
      <c r="L44" s="83" t="n">
        <f aca="false">IFERROR(INDEX(05_Params!$G$4:$G$23,COUNTIF(05_Params!$G$4:$G$23,"&lt;"&amp;K44/(1-05_Params!$B$8))+1),CEILING(K44/(1-05_Params!$B$8),64))</f>
        <v>750</v>
      </c>
      <c r="M44" s="99" t="s">
        <v>734</v>
      </c>
    </row>
    <row r="45" customFormat="false" ht="33.75" hidden="false" customHeight="true" outlineLevel="0" collapsed="false">
      <c r="A45" s="112" t="s">
        <v>474</v>
      </c>
      <c r="B45" s="113" t="s">
        <v>475</v>
      </c>
      <c r="C45" s="112" t="n">
        <v>15</v>
      </c>
      <c r="D45" s="112" t="n">
        <v>0.05</v>
      </c>
      <c r="E45" s="112" t="n">
        <v>365</v>
      </c>
      <c r="F45" s="114" t="n">
        <v>0.1</v>
      </c>
      <c r="G45" s="114" t="n">
        <v>0.15</v>
      </c>
      <c r="H45" s="76" t="n">
        <f aca="false">$C45+$D45*05_Params!$B$4*POWER(1+$G45,05_Params!$B$13/12)*MIN($E45,05_Params!$B$13*30.44)*(1+$F45)</f>
        <v>38.08625</v>
      </c>
      <c r="I45" s="76" t="n">
        <f aca="false">$C45+$D45*05_Params!$B$4*POWER(1+$G45,05_Params!$B$14/12)*MIN($E45,05_Params!$B$14*30.44)*(1+$F45)</f>
        <v>41.5491875</v>
      </c>
      <c r="J45" s="76" t="n">
        <f aca="false">$C45+$D45*05_Params!$B$4*POWER(1+$G45,05_Params!$B$15/12)*MIN($E45,05_Params!$B$15*30.44)*(1+$F45)</f>
        <v>45.531565625</v>
      </c>
      <c r="K45" s="76" t="n">
        <f aca="false">$C45+$D45*05_Params!$B$4*POWER(1+$G45,05_Params!$B$16/12)*MIN($E45,05_Params!$B$16*30.44)*(1+$F45)</f>
        <v>55.3779955390625</v>
      </c>
      <c r="L45" s="83" t="n">
        <f aca="false">IFERROR(INDEX(05_Params!$G$4:$G$23,COUNTIF(05_Params!$G$4:$G$23,"&lt;"&amp;K45/(1-05_Params!$B$8))+1),CEILING(K45/(1-05_Params!$B$8),64))</f>
        <v>80</v>
      </c>
      <c r="M45" s="99" t="s">
        <v>734</v>
      </c>
    </row>
    <row r="46" customFormat="false" ht="33.75" hidden="false" customHeight="true" outlineLevel="0" collapsed="false">
      <c r="A46" s="112" t="s">
        <v>484</v>
      </c>
      <c r="B46" s="113" t="s">
        <v>485</v>
      </c>
      <c r="C46" s="112" t="n">
        <v>15</v>
      </c>
      <c r="D46" s="112" t="n">
        <v>0.4</v>
      </c>
      <c r="E46" s="112" t="n">
        <v>90</v>
      </c>
      <c r="F46" s="114" t="n">
        <v>0.15</v>
      </c>
      <c r="G46" s="114" t="n">
        <v>0.25</v>
      </c>
      <c r="H46" s="76" t="n">
        <f aca="false">$C46+$D46*05_Params!$B$4*POWER(1+$G46,05_Params!$B$13/12)*MIN($E46,05_Params!$B$13*30.44)*(1+$F46)</f>
        <v>66.75</v>
      </c>
      <c r="I46" s="76" t="n">
        <f aca="false">$C46+$D46*05_Params!$B$4*POWER(1+$G46,05_Params!$B$14/12)*MIN($E46,05_Params!$B$14*30.44)*(1+$F46)</f>
        <v>79.6875</v>
      </c>
      <c r="J46" s="76" t="n">
        <f aca="false">$C46+$D46*05_Params!$B$4*POWER(1+$G46,05_Params!$B$15/12)*MIN($E46,05_Params!$B$15*30.44)*(1+$F46)</f>
        <v>95.859375</v>
      </c>
      <c r="K46" s="76" t="n">
        <f aca="false">$C46+$D46*05_Params!$B$4*POWER(1+$G46,05_Params!$B$16/12)*MIN($E46,05_Params!$B$16*30.44)*(1+$F46)</f>
        <v>141.3427734375</v>
      </c>
      <c r="L46" s="83" t="n">
        <f aca="false">IFERROR(INDEX(05_Params!$G$4:$G$23,COUNTIF(05_Params!$G$4:$G$23,"&lt;"&amp;K46/(1-05_Params!$B$8))+1),CEILING(K46/(1-05_Params!$B$8),64))</f>
        <v>200</v>
      </c>
      <c r="M46" s="99" t="s">
        <v>734</v>
      </c>
    </row>
    <row r="47" customFormat="false" ht="33.75" hidden="false" customHeight="true" outlineLevel="0" collapsed="false">
      <c r="A47" s="112" t="s">
        <v>492</v>
      </c>
      <c r="B47" s="113" t="s">
        <v>493</v>
      </c>
      <c r="C47" s="112" t="n">
        <v>20</v>
      </c>
      <c r="D47" s="112" t="n">
        <v>0.1</v>
      </c>
      <c r="E47" s="112" t="n">
        <v>2555</v>
      </c>
      <c r="F47" s="114" t="n">
        <v>0.15</v>
      </c>
      <c r="G47" s="114" t="n">
        <v>0.2</v>
      </c>
      <c r="H47" s="76" t="n">
        <f aca="false">$C47+$D47*05_Params!$B$4*POWER(1+$G47,05_Params!$B$13/12)*MIN($E47,05_Params!$B$13*30.44)*(1+$F47)</f>
        <v>70.40864</v>
      </c>
      <c r="I47" s="76" t="n">
        <f aca="false">$C47+$D47*05_Params!$B$4*POWER(1+$G47,05_Params!$B$14/12)*MIN($E47,05_Params!$B$14*30.44)*(1+$F47)</f>
        <v>140.980736</v>
      </c>
      <c r="J47" s="76" t="n">
        <f aca="false">$C47+$D47*05_Params!$B$4*POWER(1+$G47,05_Params!$B$15/12)*MIN($E47,05_Params!$B$15*30.44)*(1+$F47)</f>
        <v>237.7653248</v>
      </c>
      <c r="K47" s="76" t="n">
        <f aca="false">$C47+$D47*05_Params!$B$4*POWER(1+$G47,05_Params!$B$16/12)*MIN($E47,05_Params!$B$16*30.44)*(1+$F47)</f>
        <v>542.63677952</v>
      </c>
      <c r="L47" s="83" t="n">
        <f aca="false">IFERROR(INDEX(05_Params!$G$4:$G$23,COUNTIF(05_Params!$G$4:$G$23,"&lt;"&amp;K47/(1-05_Params!$B$8))+1),CEILING(K47/(1-05_Params!$B$8),64))</f>
        <v>750</v>
      </c>
      <c r="M47" s="99" t="s">
        <v>734</v>
      </c>
    </row>
    <row r="48" customFormat="false" ht="33.75" hidden="false" customHeight="true" outlineLevel="0" collapsed="false">
      <c r="A48" s="112" t="s">
        <v>500</v>
      </c>
      <c r="B48" s="113" t="s">
        <v>501</v>
      </c>
      <c r="C48" s="112" t="n">
        <v>20</v>
      </c>
      <c r="D48" s="112" t="n">
        <v>2</v>
      </c>
      <c r="E48" s="112" t="n">
        <v>90</v>
      </c>
      <c r="F48" s="114" t="n">
        <v>0.05</v>
      </c>
      <c r="G48" s="114" t="n">
        <v>0.25</v>
      </c>
      <c r="H48" s="76" t="n">
        <f aca="false">$C48+$D48*05_Params!$B$4*POWER(1+$G48,05_Params!$B$13/12)*MIN($E48,05_Params!$B$13*30.44)*(1+$F48)</f>
        <v>256.25</v>
      </c>
      <c r="I48" s="76" t="n">
        <f aca="false">$C48+$D48*05_Params!$B$4*POWER(1+$G48,05_Params!$B$14/12)*MIN($E48,05_Params!$B$14*30.44)*(1+$F48)</f>
        <v>315.3125</v>
      </c>
      <c r="J48" s="76" t="n">
        <f aca="false">$C48+$D48*05_Params!$B$4*POWER(1+$G48,05_Params!$B$15/12)*MIN($E48,05_Params!$B$15*30.44)*(1+$F48)</f>
        <v>389.140625</v>
      </c>
      <c r="K48" s="76" t="n">
        <f aca="false">$C48+$D48*05_Params!$B$4*POWER(1+$G48,05_Params!$B$16/12)*MIN($E48,05_Params!$B$16*30.44)*(1+$F48)</f>
        <v>596.7822265625</v>
      </c>
      <c r="L48" s="83" t="n">
        <f aca="false">IFERROR(INDEX(05_Params!$G$4:$G$23,COUNTIF(05_Params!$G$4:$G$23,"&lt;"&amp;K48/(1-05_Params!$B$8))+1),CEILING(K48/(1-05_Params!$B$8),64))</f>
        <v>1000</v>
      </c>
      <c r="M48" s="99" t="s">
        <v>747</v>
      </c>
    </row>
    <row r="49" customFormat="false" ht="33.75" hidden="false" customHeight="true" outlineLevel="0" collapsed="false">
      <c r="A49" s="112" t="s">
        <v>508</v>
      </c>
      <c r="B49" s="113" t="s">
        <v>509</v>
      </c>
      <c r="C49" s="112" t="n">
        <v>15</v>
      </c>
      <c r="D49" s="112" t="n">
        <v>0.05</v>
      </c>
      <c r="E49" s="112" t="n">
        <v>730</v>
      </c>
      <c r="F49" s="114" t="n">
        <v>0.1</v>
      </c>
      <c r="G49" s="114" t="n">
        <v>0.15</v>
      </c>
      <c r="H49" s="76" t="n">
        <f aca="false">$C49+$D49*05_Params!$B$4*POWER(1+$G49,05_Params!$B$13/12)*MIN($E49,05_Params!$B$13*30.44)*(1+$F49)</f>
        <v>38.10396</v>
      </c>
      <c r="I49" s="76" t="n">
        <f aca="false">$C49+$D49*05_Params!$B$4*POWER(1+$G49,05_Params!$B$14/12)*MIN($E49,05_Params!$B$14*30.44)*(1+$F49)</f>
        <v>68.098375</v>
      </c>
      <c r="J49" s="76" t="n">
        <f aca="false">$C49+$D49*05_Params!$B$4*POWER(1+$G49,05_Params!$B$15/12)*MIN($E49,05_Params!$B$15*30.44)*(1+$F49)</f>
        <v>76.06313125</v>
      </c>
      <c r="K49" s="76" t="n">
        <f aca="false">$C49+$D49*05_Params!$B$4*POWER(1+$G49,05_Params!$B$16/12)*MIN($E49,05_Params!$B$16*30.44)*(1+$F49)</f>
        <v>95.755991078125</v>
      </c>
      <c r="L49" s="83" t="n">
        <f aca="false">IFERROR(INDEX(05_Params!$G$4:$G$23,COUNTIF(05_Params!$G$4:$G$23,"&lt;"&amp;K49/(1-05_Params!$B$8))+1),CEILING(K49/(1-05_Params!$B$8),64))</f>
        <v>150</v>
      </c>
      <c r="M49" s="99" t="s">
        <v>734</v>
      </c>
    </row>
    <row r="50" customFormat="false" ht="33.75" hidden="false" customHeight="true" outlineLevel="0" collapsed="false">
      <c r="A50" s="109" t="s">
        <v>517</v>
      </c>
      <c r="B50" s="110" t="s">
        <v>518</v>
      </c>
      <c r="C50" s="109" t="n">
        <v>20</v>
      </c>
      <c r="D50" s="109" t="n">
        <v>0.5</v>
      </c>
      <c r="E50" s="109" t="n">
        <v>730</v>
      </c>
      <c r="F50" s="111" t="n">
        <v>0.15</v>
      </c>
      <c r="G50" s="111" t="n">
        <v>0.4</v>
      </c>
      <c r="H50" s="72" t="n">
        <f aca="false">$C50+$D50*05_Params!$B$4*POWER(1+$G50,05_Params!$B$13/12)*MIN($E50,05_Params!$B$13*30.44)*(1+$F50)</f>
        <v>314.0504</v>
      </c>
      <c r="I50" s="72" t="n">
        <f aca="false">$C50+$D50*05_Params!$B$4*POWER(1+$G50,05_Params!$B$14/12)*MIN($E50,05_Params!$B$14*30.44)*(1+$F50)</f>
        <v>842.71</v>
      </c>
      <c r="J50" s="72" t="n">
        <f aca="false">$C50+$D50*05_Params!$B$4*POWER(1+$G50,05_Params!$B$15/12)*MIN($E50,05_Params!$B$15*30.44)*(1+$F50)</f>
        <v>1171.794</v>
      </c>
      <c r="K50" s="72" t="n">
        <f aca="false">$C50+$D50*05_Params!$B$4*POWER(1+$G50,05_Params!$B$16/12)*MIN($E50,05_Params!$B$16*30.44)*(1+$F50)</f>
        <v>2277.51624</v>
      </c>
      <c r="L50" s="83" t="n">
        <f aca="false">IFERROR(INDEX(05_Params!$G$4:$G$23,COUNTIF(05_Params!$G$4:$G$23,"&lt;"&amp;K50/(1-05_Params!$B$8))+1),CEILING(K50/(1-05_Params!$B$8),64))</f>
        <v>4000</v>
      </c>
      <c r="M50" s="99" t="s">
        <v>748</v>
      </c>
    </row>
    <row r="51" customFormat="false" ht="33.75" hidden="false" customHeight="true" outlineLevel="0" collapsed="false">
      <c r="A51" s="106" t="s">
        <v>525</v>
      </c>
      <c r="B51" s="107" t="s">
        <v>526</v>
      </c>
      <c r="C51" s="106" t="n">
        <v>40</v>
      </c>
      <c r="D51" s="106" t="n">
        <v>0.2</v>
      </c>
      <c r="E51" s="106" t="n">
        <v>365</v>
      </c>
      <c r="F51" s="108" t="n">
        <v>0.1</v>
      </c>
      <c r="G51" s="108" t="n">
        <v>0.3</v>
      </c>
      <c r="H51" s="68" t="n">
        <f aca="false">$C51+$D51*05_Params!$B$4*POWER(1+$G51,05_Params!$B$13/12)*MIN($E51,05_Params!$B$13*30.44)*(1+$F51)</f>
        <v>144.39</v>
      </c>
      <c r="I51" s="68" t="n">
        <f aca="false">$C51+$D51*05_Params!$B$4*POWER(1+$G51,05_Params!$B$14/12)*MIN($E51,05_Params!$B$14*30.44)*(1+$F51)</f>
        <v>175.707</v>
      </c>
      <c r="J51" s="68" t="n">
        <f aca="false">$C51+$D51*05_Params!$B$4*POWER(1+$G51,05_Params!$B$15/12)*MIN($E51,05_Params!$B$15*30.44)*(1+$F51)</f>
        <v>216.4191</v>
      </c>
      <c r="K51" s="68" t="n">
        <f aca="false">$C51+$D51*05_Params!$B$4*POWER(1+$G51,05_Params!$B$16/12)*MIN($E51,05_Params!$B$16*30.44)*(1+$F51)</f>
        <v>338.148279</v>
      </c>
      <c r="L51" s="83" t="n">
        <f aca="false">IFERROR(INDEX(05_Params!$G$4:$G$23,COUNTIF(05_Params!$G$4:$G$23,"&lt;"&amp;K51/(1-05_Params!$B$8))+1),CEILING(K51/(1-05_Params!$B$8),64))</f>
        <v>500</v>
      </c>
      <c r="M51" s="99" t="s">
        <v>734</v>
      </c>
    </row>
    <row r="52" customFormat="false" ht="33.75" hidden="false" customHeight="true" outlineLevel="0" collapsed="false">
      <c r="A52" s="103" t="s">
        <v>533</v>
      </c>
      <c r="B52" s="104" t="s">
        <v>534</v>
      </c>
      <c r="C52" s="103" t="n">
        <v>200</v>
      </c>
      <c r="D52" s="103" t="n">
        <v>5</v>
      </c>
      <c r="E52" s="103" t="n">
        <v>180</v>
      </c>
      <c r="F52" s="105" t="n">
        <v>0.1</v>
      </c>
      <c r="G52" s="105" t="n">
        <v>0.4</v>
      </c>
      <c r="H52" s="64" t="n">
        <f aca="false">$C52+$D52*05_Params!$B$4*POWER(1+$G52,05_Params!$B$13/12)*MIN($E52,05_Params!$B$13*30.44)*(1+$F52)</f>
        <v>1586</v>
      </c>
      <c r="I52" s="64" t="n">
        <f aca="false">$C52+$D52*05_Params!$B$4*POWER(1+$G52,05_Params!$B$14/12)*MIN($E52,05_Params!$B$14*30.44)*(1+$F52)</f>
        <v>2140.4</v>
      </c>
      <c r="J52" s="64" t="n">
        <f aca="false">$C52+$D52*05_Params!$B$4*POWER(1+$G52,05_Params!$B$15/12)*MIN($E52,05_Params!$B$15*30.44)*(1+$F52)</f>
        <v>2916.56</v>
      </c>
      <c r="K52" s="64" t="n">
        <f aca="false">$C52+$D52*05_Params!$B$4*POWER(1+$G52,05_Params!$B$16/12)*MIN($E52,05_Params!$B$16*30.44)*(1+$F52)</f>
        <v>5524.4576</v>
      </c>
      <c r="L52" s="83" t="n">
        <f aca="false">IFERROR(INDEX(05_Params!$G$4:$G$23,COUNTIF(05_Params!$G$4:$G$23,"&lt;"&amp;K52/(1-05_Params!$B$8))+1),CEILING(K52/(1-05_Params!$B$8),64))</f>
        <v>8000</v>
      </c>
      <c r="M52" s="99" t="s">
        <v>749</v>
      </c>
    </row>
    <row r="53" customFormat="false" ht="33.75" hidden="false" customHeight="true" outlineLevel="0" collapsed="false">
      <c r="A53" s="109" t="s">
        <v>540</v>
      </c>
      <c r="B53" s="110" t="s">
        <v>541</v>
      </c>
      <c r="C53" s="109" t="n">
        <v>10</v>
      </c>
      <c r="D53" s="109" t="n">
        <v>0.05</v>
      </c>
      <c r="E53" s="109" t="n">
        <v>30</v>
      </c>
      <c r="F53" s="111" t="n">
        <v>0.1</v>
      </c>
      <c r="G53" s="111" t="n">
        <v>0.2</v>
      </c>
      <c r="H53" s="72" t="n">
        <f aca="false">$C53+$D53*05_Params!$B$4*POWER(1+$G53,05_Params!$B$13/12)*MIN($E53,05_Params!$B$13*30.44)*(1+$F53)</f>
        <v>11.98</v>
      </c>
      <c r="I53" s="72" t="n">
        <f aca="false">$C53+$D53*05_Params!$B$4*POWER(1+$G53,05_Params!$B$14/12)*MIN($E53,05_Params!$B$14*30.44)*(1+$F53)</f>
        <v>12.376</v>
      </c>
      <c r="J53" s="72" t="n">
        <f aca="false">$C53+$D53*05_Params!$B$4*POWER(1+$G53,05_Params!$B$15/12)*MIN($E53,05_Params!$B$15*30.44)*(1+$F53)</f>
        <v>12.8512</v>
      </c>
      <c r="K53" s="72" t="n">
        <f aca="false">$C53+$D53*05_Params!$B$4*POWER(1+$G53,05_Params!$B$16/12)*MIN($E53,05_Params!$B$16*30.44)*(1+$F53)</f>
        <v>14.105728</v>
      </c>
      <c r="L53" s="83" t="n">
        <f aca="false">IFERROR(INDEX(05_Params!$G$4:$G$23,COUNTIF(05_Params!$G$4:$G$23,"&lt;"&amp;K53/(1-05_Params!$B$8))+1),CEILING(K53/(1-05_Params!$B$8),64))</f>
        <v>20</v>
      </c>
      <c r="M53" s="99" t="s">
        <v>734</v>
      </c>
    </row>
    <row r="54" customFormat="false" ht="33.75" hidden="false" customHeight="true" outlineLevel="0" collapsed="false">
      <c r="A54" s="109" t="s">
        <v>547</v>
      </c>
      <c r="B54" s="110" t="s">
        <v>548</v>
      </c>
      <c r="C54" s="109" t="n">
        <v>15</v>
      </c>
      <c r="D54" s="109" t="n">
        <v>0.1</v>
      </c>
      <c r="E54" s="109" t="n">
        <v>30</v>
      </c>
      <c r="F54" s="111" t="n">
        <v>0.1</v>
      </c>
      <c r="G54" s="111" t="n">
        <v>0.2</v>
      </c>
      <c r="H54" s="72" t="n">
        <f aca="false">$C54+$D54*05_Params!$B$4*POWER(1+$G54,05_Params!$B$13/12)*MIN($E54,05_Params!$B$13*30.44)*(1+$F54)</f>
        <v>18.96</v>
      </c>
      <c r="I54" s="72" t="n">
        <f aca="false">$C54+$D54*05_Params!$B$4*POWER(1+$G54,05_Params!$B$14/12)*MIN($E54,05_Params!$B$14*30.44)*(1+$F54)</f>
        <v>19.752</v>
      </c>
      <c r="J54" s="72" t="n">
        <f aca="false">$C54+$D54*05_Params!$B$4*POWER(1+$G54,05_Params!$B$15/12)*MIN($E54,05_Params!$B$15*30.44)*(1+$F54)</f>
        <v>20.7024</v>
      </c>
      <c r="K54" s="72" t="n">
        <f aca="false">$C54+$D54*05_Params!$B$4*POWER(1+$G54,05_Params!$B$16/12)*MIN($E54,05_Params!$B$16*30.44)*(1+$F54)</f>
        <v>23.211456</v>
      </c>
      <c r="L54" s="83" t="n">
        <f aca="false">IFERROR(INDEX(05_Params!$G$4:$G$23,COUNTIF(05_Params!$G$4:$G$23,"&lt;"&amp;K54/(1-05_Params!$B$8))+1),CEILING(K54/(1-05_Params!$B$8),64))</f>
        <v>40</v>
      </c>
      <c r="M54" s="99" t="s">
        <v>734</v>
      </c>
    </row>
    <row r="55" customFormat="false" ht="33.75" hidden="false" customHeight="true" outlineLevel="0" collapsed="false">
      <c r="A55" s="109" t="s">
        <v>554</v>
      </c>
      <c r="B55" s="110" t="s">
        <v>555</v>
      </c>
      <c r="C55" s="109" t="n">
        <v>20</v>
      </c>
      <c r="D55" s="109" t="n">
        <v>0.5</v>
      </c>
      <c r="E55" s="109" t="n">
        <v>180</v>
      </c>
      <c r="F55" s="111" t="n">
        <v>0.05</v>
      </c>
      <c r="G55" s="111" t="n">
        <v>0.25</v>
      </c>
      <c r="H55" s="72" t="n">
        <f aca="false">$C55+$D55*05_Params!$B$4*POWER(1+$G55,05_Params!$B$13/12)*MIN($E55,05_Params!$B$13*30.44)*(1+$F55)</f>
        <v>138.125</v>
      </c>
      <c r="I55" s="72" t="n">
        <f aca="false">$C55+$D55*05_Params!$B$4*POWER(1+$G55,05_Params!$B$14/12)*MIN($E55,05_Params!$B$14*30.44)*(1+$F55)</f>
        <v>167.65625</v>
      </c>
      <c r="J55" s="72" t="n">
        <f aca="false">$C55+$D55*05_Params!$B$4*POWER(1+$G55,05_Params!$B$15/12)*MIN($E55,05_Params!$B$15*30.44)*(1+$F55)</f>
        <v>204.5703125</v>
      </c>
      <c r="K55" s="72" t="n">
        <f aca="false">$C55+$D55*05_Params!$B$4*POWER(1+$G55,05_Params!$B$16/12)*MIN($E55,05_Params!$B$16*30.44)*(1+$F55)</f>
        <v>308.39111328125</v>
      </c>
      <c r="L55" s="83" t="n">
        <f aca="false">IFERROR(INDEX(05_Params!$G$4:$G$23,COUNTIF(05_Params!$G$4:$G$23,"&lt;"&amp;K55/(1-05_Params!$B$8))+1),CEILING(K55/(1-05_Params!$B$8),64))</f>
        <v>500</v>
      </c>
      <c r="M55" s="99" t="s">
        <v>750</v>
      </c>
    </row>
    <row r="56" customFormat="false" ht="15" hidden="false" customHeight="false" outlineLevel="0" collapsed="false">
      <c r="B56" s="40" t="s">
        <v>751</v>
      </c>
      <c r="C56" s="115" t="n">
        <f aca="false">SUM(C3:C55)</f>
        <v>1376</v>
      </c>
      <c r="H56" s="115" t="n">
        <f aca="false">SUM(H3:H55)</f>
        <v>5642.883596</v>
      </c>
      <c r="I56" s="115" t="n">
        <f aca="false">SUM(I3:I55)</f>
        <v>7649.0985734</v>
      </c>
      <c r="J56" s="115" t="n">
        <f aca="false">SUM(J3:J55)</f>
        <v>9786.61793173</v>
      </c>
      <c r="K56" s="115" t="n">
        <f aca="false">SUM(K3:K55)</f>
        <v>16503.6481427361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74"/>
    <col collapsed="false" customWidth="true" hidden="false" outlineLevel="0" max="6" min="6" style="0" width="22"/>
    <col collapsed="false" customWidth="true" hidden="false" outlineLevel="0" max="7" min="7" style="0" width="38"/>
    <col collapsed="false" customWidth="true" hidden="false" outlineLevel="0" max="8" min="8" style="0" width="12"/>
    <col collapsed="false" customWidth="true" hidden="false" outlineLevel="0" max="9" min="9" style="0" width="42"/>
  </cols>
  <sheetData>
    <row r="1" customFormat="false" ht="24" hidden="false" customHeight="true" outlineLevel="0" collapsed="false">
      <c r="A1" s="8" t="s">
        <v>752</v>
      </c>
      <c r="C1" s="3" t="s">
        <v>753</v>
      </c>
    </row>
    <row r="2" customFormat="false" ht="39.75" hidden="false" customHeight="true" outlineLevel="0" collapsed="false">
      <c r="A2" s="9" t="s">
        <v>754</v>
      </c>
      <c r="B2" s="9" t="s">
        <v>755</v>
      </c>
      <c r="C2" s="9" t="s">
        <v>756</v>
      </c>
      <c r="D2" s="9" t="s">
        <v>757</v>
      </c>
      <c r="E2" s="9" t="s">
        <v>758</v>
      </c>
      <c r="F2" s="9" t="s">
        <v>759</v>
      </c>
      <c r="G2" s="9" t="s">
        <v>760</v>
      </c>
      <c r="H2" s="9" t="s">
        <v>761</v>
      </c>
      <c r="I2" s="9" t="s">
        <v>762</v>
      </c>
    </row>
    <row r="3" customFormat="false" ht="30" hidden="false" customHeight="true" outlineLevel="0" collapsed="false">
      <c r="A3" s="116" t="s">
        <v>763</v>
      </c>
      <c r="B3" s="116" t="s">
        <v>764</v>
      </c>
      <c r="C3" s="116" t="s">
        <v>765</v>
      </c>
      <c r="D3" s="116" t="s">
        <v>766</v>
      </c>
      <c r="E3" s="117" t="s">
        <v>767</v>
      </c>
      <c r="F3" s="118" t="s">
        <v>768</v>
      </c>
      <c r="G3" s="117" t="s">
        <v>769</v>
      </c>
      <c r="H3" s="119" t="str">
        <f aca="false">IF((08_Tool_Capability!AP$57+08_Tool_Capability!Y$57+08_Tool_Capability!G$57+08_Tool_Capability!S$57)&gt;=4,"ผ่าน","ไม่ผ่าน")</f>
        <v>ผ่าน</v>
      </c>
      <c r="I3" s="120" t="str">
        <f aca="false">IF(08_Tool_Capability!AP$57=0,"vapt ","")&amp;IF(08_Tool_Capability!Y$57=0,"audit_trail ","")&amp;IF(08_Tool_Capability!G$57=0,"sast ","")&amp;IF(08_Tool_Capability!S$57=0,"dast ","")</f>
        <v/>
      </c>
    </row>
    <row r="4" customFormat="false" ht="30" hidden="false" customHeight="true" outlineLevel="0" collapsed="false">
      <c r="A4" s="116" t="s">
        <v>770</v>
      </c>
      <c r="B4" s="116" t="s">
        <v>764</v>
      </c>
      <c r="C4" s="116" t="s">
        <v>765</v>
      </c>
      <c r="D4" s="116" t="s">
        <v>766</v>
      </c>
      <c r="E4" s="117" t="s">
        <v>771</v>
      </c>
      <c r="F4" s="118" t="s">
        <v>772</v>
      </c>
      <c r="G4" s="117" t="s">
        <v>773</v>
      </c>
      <c r="H4" s="119" t="str">
        <f aca="false">IF((08_Tool_Capability!AA$57+08_Tool_Capability!Z$57+08_Tool_Capability!AQ$57+08_Tool_Capability!AF$57)&gt;=4,"ผ่าน","ไม่ผ่าน")</f>
        <v>ผ่าน</v>
      </c>
      <c r="I4" s="120" t="str">
        <f aca="false">IF(08_Tool_Capability!AA$57=0,"siem_alert ","")&amp;IF(08_Tool_Capability!Z$57=0,"log_mgmt ","")&amp;IF(08_Tool_Capability!AQ$57=0,"notify ","")&amp;IF(08_Tool_Capability!AF$57=0,"monitoring ","")</f>
        <v/>
      </c>
    </row>
    <row r="5" customFormat="false" ht="30" hidden="false" customHeight="true" outlineLevel="0" collapsed="false">
      <c r="A5" s="116" t="s">
        <v>774</v>
      </c>
      <c r="B5" s="116" t="s">
        <v>764</v>
      </c>
      <c r="C5" s="116" t="s">
        <v>765</v>
      </c>
      <c r="D5" s="116" t="s">
        <v>775</v>
      </c>
      <c r="E5" s="117" t="s">
        <v>776</v>
      </c>
      <c r="F5" s="118" t="s">
        <v>777</v>
      </c>
      <c r="G5" s="117" t="s">
        <v>778</v>
      </c>
      <c r="H5" s="119" t="str">
        <f aca="false">IF((08_Tool_Capability!AM$57+08_Tool_Capability!AC$57)&gt;=2,"ผ่าน","ไม่ผ่าน")</f>
        <v>ผ่าน</v>
      </c>
      <c r="I5" s="120" t="str">
        <f aca="false">IF(08_Tool_Capability!AM$57=0,"backup_dr ","")&amp;IF(08_Tool_Capability!AC$57=0,"deploy_strategy ","")</f>
        <v/>
      </c>
    </row>
    <row r="6" customFormat="false" ht="30" hidden="false" customHeight="true" outlineLevel="0" collapsed="false">
      <c r="A6" s="116" t="s">
        <v>779</v>
      </c>
      <c r="B6" s="116" t="s">
        <v>780</v>
      </c>
      <c r="C6" s="116" t="s">
        <v>765</v>
      </c>
      <c r="D6" s="116" t="s">
        <v>766</v>
      </c>
      <c r="E6" s="117" t="s">
        <v>781</v>
      </c>
      <c r="F6" s="118" t="s">
        <v>782</v>
      </c>
      <c r="G6" s="117" t="s">
        <v>783</v>
      </c>
      <c r="H6" s="119" t="str">
        <f aca="false">IF((08_Tool_Capability!AG$57+08_Tool_Capability!AN$57+08_Tool_Capability!Z$57+08_Tool_Capability!AJ$57)&gt;=4,"ผ่าน","ไม่ผ่าน")</f>
        <v>ผ่าน</v>
      </c>
      <c r="I6" s="120" t="str">
        <f aca="false">IF(08_Tool_Capability!AG$57=0,"secret_mgmt ","")&amp;IF(08_Tool_Capability!AN$57=0,"iam_mfa ","")&amp;IF(08_Tool_Capability!Z$57=0,"log_mgmt ","")&amp;IF(08_Tool_Capability!AJ$57=0,"tls_check ","")</f>
        <v/>
      </c>
    </row>
    <row r="7" customFormat="false" ht="30" hidden="false" customHeight="true" outlineLevel="0" collapsed="false">
      <c r="A7" s="116" t="s">
        <v>784</v>
      </c>
      <c r="B7" s="116" t="s">
        <v>780</v>
      </c>
      <c r="C7" s="116" t="s">
        <v>765</v>
      </c>
      <c r="D7" s="116" t="s">
        <v>766</v>
      </c>
      <c r="E7" s="117" t="s">
        <v>785</v>
      </c>
      <c r="F7" s="118" t="s">
        <v>786</v>
      </c>
      <c r="G7" s="117" t="s">
        <v>787</v>
      </c>
      <c r="H7" s="119" t="str">
        <f aca="false">IF((08_Tool_Capability!AA$57+08_Tool_Capability!Z$57+08_Tool_Capability!AQ$57)&gt;=3,"ผ่าน","ไม่ผ่าน")</f>
        <v>ผ่าน</v>
      </c>
      <c r="I7" s="120" t="str">
        <f aca="false">IF(08_Tool_Capability!AA$57=0,"siem_alert ","")&amp;IF(08_Tool_Capability!Z$57=0,"log_mgmt ","")&amp;IF(08_Tool_Capability!AQ$57=0,"notify ","")</f>
        <v/>
      </c>
    </row>
    <row r="8" customFormat="false" ht="30" hidden="false" customHeight="true" outlineLevel="0" collapsed="false">
      <c r="A8" s="116" t="s">
        <v>210</v>
      </c>
      <c r="B8" s="116" t="s">
        <v>780</v>
      </c>
      <c r="C8" s="116" t="s">
        <v>765</v>
      </c>
      <c r="D8" s="116" t="s">
        <v>766</v>
      </c>
      <c r="E8" s="117" t="s">
        <v>788</v>
      </c>
      <c r="F8" s="118" t="s">
        <v>782</v>
      </c>
      <c r="G8" s="117" t="s">
        <v>789</v>
      </c>
      <c r="H8" s="119" t="str">
        <f aca="false">IF((08_Tool_Capability!H$57+08_Tool_Capability!AG$57)&gt;=2,"ผ่าน","ไม่ผ่าน")</f>
        <v>ผ่าน</v>
      </c>
      <c r="I8" s="120" t="str">
        <f aca="false">IF(08_Tool_Capability!H$57=0,"secret_scan ","")&amp;IF(08_Tool_Capability!AG$57=0,"secret_mgmt ","")</f>
        <v/>
      </c>
    </row>
    <row r="9" customFormat="false" ht="30" hidden="false" customHeight="true" outlineLevel="0" collapsed="false">
      <c r="A9" s="116" t="s">
        <v>379</v>
      </c>
      <c r="B9" s="116" t="s">
        <v>790</v>
      </c>
      <c r="C9" s="116" t="s">
        <v>765</v>
      </c>
      <c r="D9" s="116" t="s">
        <v>766</v>
      </c>
      <c r="E9" s="117" t="s">
        <v>791</v>
      </c>
      <c r="F9" s="118" t="s">
        <v>792</v>
      </c>
      <c r="G9" s="117" t="s">
        <v>793</v>
      </c>
      <c r="H9" s="119" t="str">
        <f aca="false">IF((08_Tool_Capability!Z$57+08_Tool_Capability!Y$57)&gt;=2,"ผ่าน","ไม่ผ่าน")</f>
        <v>ผ่าน</v>
      </c>
      <c r="I9" s="120" t="str">
        <f aca="false">IF(08_Tool_Capability!Z$57=0,"log_mgmt ","")&amp;IF(08_Tool_Capability!Y$57=0,"audit_trail ","")</f>
        <v/>
      </c>
    </row>
    <row r="10" customFormat="false" ht="30" hidden="false" customHeight="true" outlineLevel="0" collapsed="false">
      <c r="A10" s="116" t="s">
        <v>794</v>
      </c>
      <c r="B10" s="116" t="s">
        <v>790</v>
      </c>
      <c r="C10" s="116" t="s">
        <v>765</v>
      </c>
      <c r="D10" s="116" t="s">
        <v>775</v>
      </c>
      <c r="E10" s="117" t="s">
        <v>795</v>
      </c>
      <c r="F10" s="118" t="s">
        <v>796</v>
      </c>
      <c r="G10" s="117" t="s">
        <v>797</v>
      </c>
      <c r="H10" s="119" t="str">
        <f aca="false">IF((08_Tool_Capability!Y$57+08_Tool_Capability!AN$57+08_Tool_Capability!AH$57)&gt;=3,"ผ่าน","ไม่ผ่าน")</f>
        <v>ผ่าน</v>
      </c>
      <c r="I10" s="120" t="str">
        <f aca="false">IF(08_Tool_Capability!Y$57=0,"audit_trail ","")&amp;IF(08_Tool_Capability!AN$57=0,"iam_mfa ","")&amp;IF(08_Tool_Capability!AH$57=0,"config_mgmt ","")</f>
        <v/>
      </c>
    </row>
    <row r="11" customFormat="false" ht="30" hidden="false" customHeight="true" outlineLevel="0" collapsed="false">
      <c r="A11" s="116" t="s">
        <v>798</v>
      </c>
      <c r="B11" s="116" t="s">
        <v>790</v>
      </c>
      <c r="C11" s="116" t="s">
        <v>765</v>
      </c>
      <c r="D11" s="116" t="s">
        <v>775</v>
      </c>
      <c r="E11" s="117" t="s">
        <v>799</v>
      </c>
      <c r="F11" s="118" t="s">
        <v>800</v>
      </c>
      <c r="G11" s="117" t="s">
        <v>801</v>
      </c>
      <c r="H11" s="119" t="str">
        <f aca="false">IF((08_Tool_Capability!AP$57+08_Tool_Capability!S$57+08_Tool_Capability!X$57+08_Tool_Capability!I$57+08_Tool_Capability!AM$57)&gt;=5,"ผ่าน","ไม่ผ่าน")</f>
        <v>ผ่าน</v>
      </c>
      <c r="I11" s="120" t="str">
        <f aca="false">IF(08_Tool_Capability!AP$57=0,"vapt ","")&amp;IF(08_Tool_Capability!S$57=0,"dast ","")&amp;IF(08_Tool_Capability!X$57=0,"sbom ","")&amp;IF(08_Tool_Capability!I$57=0,"sca ","")&amp;IF(08_Tool_Capability!AM$57=0,"backup_dr ","")</f>
        <v/>
      </c>
    </row>
    <row r="12" customFormat="false" ht="30" hidden="false" customHeight="true" outlineLevel="0" collapsed="false">
      <c r="A12" s="116" t="s">
        <v>368</v>
      </c>
      <c r="B12" s="116" t="s">
        <v>790</v>
      </c>
      <c r="C12" s="116" t="s">
        <v>765</v>
      </c>
      <c r="D12" s="116" t="s">
        <v>766</v>
      </c>
      <c r="E12" s="117" t="s">
        <v>802</v>
      </c>
      <c r="F12" s="118" t="s">
        <v>803</v>
      </c>
      <c r="G12" s="117" t="s">
        <v>804</v>
      </c>
      <c r="H12" s="119" t="str">
        <f aca="false">IF((08_Tool_Capability!AM$57+08_Tool_Capability!Y$57)&gt;=2,"ผ่าน","ไม่ผ่าน")</f>
        <v>ผ่าน</v>
      </c>
      <c r="I12" s="120" t="str">
        <f aca="false">IF(08_Tool_Capability!AM$57=0,"backup_dr ","")&amp;IF(08_Tool_Capability!Y$57=0,"audit_trail ","")</f>
        <v/>
      </c>
    </row>
    <row r="13" customFormat="false" ht="30" hidden="false" customHeight="true" outlineLevel="0" collapsed="false">
      <c r="A13" s="116" t="s">
        <v>340</v>
      </c>
      <c r="B13" s="116" t="s">
        <v>805</v>
      </c>
      <c r="C13" s="116" t="s">
        <v>765</v>
      </c>
      <c r="D13" s="116" t="s">
        <v>766</v>
      </c>
      <c r="E13" s="117" t="s">
        <v>806</v>
      </c>
      <c r="F13" s="118" t="s">
        <v>807</v>
      </c>
      <c r="G13" s="117" t="s">
        <v>808</v>
      </c>
      <c r="H13" s="119" t="str">
        <f aca="false">IF((08_Tool_Capability!AK$57)&gt;=1,"ผ่าน","ไม่ผ่าน")</f>
        <v>ผ่าน</v>
      </c>
      <c r="I13" s="120" t="str">
        <f aca="false">IF(08_Tool_Capability!AK$57=0,"accessibility ","")</f>
        <v/>
      </c>
    </row>
    <row r="14" customFormat="false" ht="30" hidden="false" customHeight="true" outlineLevel="0" collapsed="false">
      <c r="A14" s="116" t="s">
        <v>170</v>
      </c>
      <c r="B14" s="116" t="s">
        <v>805</v>
      </c>
      <c r="C14" s="116" t="s">
        <v>765</v>
      </c>
      <c r="D14" s="116" t="s">
        <v>766</v>
      </c>
      <c r="E14" s="117" t="s">
        <v>809</v>
      </c>
      <c r="F14" s="118" t="s">
        <v>810</v>
      </c>
      <c r="G14" s="117" t="s">
        <v>811</v>
      </c>
      <c r="H14" s="119" t="str">
        <f aca="false">IF((08_Tool_Capability!AJ$57)&gt;=1,"ผ่าน","ไม่ผ่าน")</f>
        <v>ผ่าน</v>
      </c>
      <c r="I14" s="120" t="str">
        <f aca="false">IF(08_Tool_Capability!AJ$57=0,"tls_check ","")</f>
        <v/>
      </c>
    </row>
    <row r="15" customFormat="false" ht="30" hidden="false" customHeight="true" outlineLevel="0" collapsed="false">
      <c r="A15" s="116" t="s">
        <v>812</v>
      </c>
      <c r="B15" s="116" t="s">
        <v>805</v>
      </c>
      <c r="C15" s="116" t="s">
        <v>765</v>
      </c>
      <c r="D15" s="116" t="s">
        <v>813</v>
      </c>
      <c r="E15" s="117" t="s">
        <v>814</v>
      </c>
      <c r="F15" s="118" t="s">
        <v>815</v>
      </c>
      <c r="G15" s="117" t="s">
        <v>816</v>
      </c>
      <c r="H15" s="119" t="str">
        <f aca="false">IF((08_Tool_Capability!AI$57+08_Tool_Capability!AM$57)&gt;=2,"ผ่าน","ไม่ผ่าน")</f>
        <v>ผ่าน</v>
      </c>
      <c r="I15" s="120" t="str">
        <f aca="false">IF(08_Tool_Capability!AI$57=0,"waf ","")&amp;IF(08_Tool_Capability!AM$57=0,"backup_dr ","")</f>
        <v/>
      </c>
    </row>
    <row r="16" customFormat="false" ht="30" hidden="false" customHeight="true" outlineLevel="0" collapsed="false">
      <c r="A16" s="116" t="s">
        <v>817</v>
      </c>
      <c r="B16" s="116" t="s">
        <v>818</v>
      </c>
      <c r="C16" s="116" t="s">
        <v>765</v>
      </c>
      <c r="D16" s="116" t="s">
        <v>775</v>
      </c>
      <c r="E16" s="117" t="s">
        <v>819</v>
      </c>
      <c r="F16" s="118" t="s">
        <v>820</v>
      </c>
      <c r="G16" s="117" t="s">
        <v>821</v>
      </c>
      <c r="H16" s="119" t="str">
        <f aca="false">IF((08_Tool_Capability!O$57+08_Tool_Capability!AL$57+08_Tool_Capability!AN$57)&gt;=3,"ผ่าน","ไม่ผ่าน")</f>
        <v>ผ่าน</v>
      </c>
      <c r="I16" s="120" t="str">
        <f aca="false">IF(08_Tool_Capability!O$57=0,"iac_scan ","")&amp;IF(08_Tool_Capability!AL$57=0,"cspm ","")&amp;IF(08_Tool_Capability!AN$57=0,"iam_mfa ","")</f>
        <v/>
      </c>
    </row>
    <row r="17" customFormat="false" ht="30" hidden="false" customHeight="true" outlineLevel="0" collapsed="false">
      <c r="A17" s="116" t="s">
        <v>822</v>
      </c>
      <c r="B17" s="116" t="s">
        <v>818</v>
      </c>
      <c r="C17" s="116" t="s">
        <v>765</v>
      </c>
      <c r="D17" s="116" t="s">
        <v>766</v>
      </c>
      <c r="E17" s="117" t="s">
        <v>823</v>
      </c>
      <c r="F17" s="118" t="s">
        <v>824</v>
      </c>
      <c r="G17" s="117" t="s">
        <v>825</v>
      </c>
      <c r="H17" s="119" t="str">
        <f aca="false">IF((08_Tool_Capability!AG$57+08_Tool_Capability!AF$57+08_Tool_Capability!Z$57)&gt;=3,"ผ่าน","ไม่ผ่าน")</f>
        <v>ผ่าน</v>
      </c>
      <c r="I17" s="120" t="str">
        <f aca="false">IF(08_Tool_Capability!AG$57=0,"secret_mgmt ","")&amp;IF(08_Tool_Capability!AF$57=0,"monitoring ","")&amp;IF(08_Tool_Capability!Z$57=0,"log_mgmt ","")</f>
        <v/>
      </c>
    </row>
    <row r="18" customFormat="false" ht="30" hidden="false" customHeight="true" outlineLevel="0" collapsed="false">
      <c r="A18" s="116" t="s">
        <v>826</v>
      </c>
      <c r="B18" s="116" t="s">
        <v>827</v>
      </c>
      <c r="C18" s="116" t="s">
        <v>765</v>
      </c>
      <c r="D18" s="116" t="s">
        <v>766</v>
      </c>
      <c r="E18" s="117" t="s">
        <v>828</v>
      </c>
      <c r="F18" s="118" t="s">
        <v>829</v>
      </c>
      <c r="G18" s="117" t="s">
        <v>830</v>
      </c>
      <c r="H18" s="119" t="str">
        <f aca="false">IF((08_Tool_Capability!AN$57+08_Tool_Capability!AJ$57+08_Tool_Capability!AI$57)&gt;=3,"ผ่าน","ไม่ผ่าน")</f>
        <v>ผ่าน</v>
      </c>
      <c r="I18" s="120" t="str">
        <f aca="false">IF(08_Tool_Capability!AN$57=0,"iam_mfa ","")&amp;IF(08_Tool_Capability!AJ$57=0,"tls_check ","")&amp;IF(08_Tool_Capability!AI$57=0,"waf ","")</f>
        <v/>
      </c>
    </row>
    <row r="19" customFormat="false" ht="30" hidden="false" customHeight="true" outlineLevel="0" collapsed="false">
      <c r="A19" s="116" t="s">
        <v>831</v>
      </c>
      <c r="B19" s="116" t="s">
        <v>827</v>
      </c>
      <c r="C19" s="116" t="s">
        <v>765</v>
      </c>
      <c r="D19" s="116" t="s">
        <v>766</v>
      </c>
      <c r="E19" s="117" t="s">
        <v>832</v>
      </c>
      <c r="F19" s="118" t="s">
        <v>829</v>
      </c>
      <c r="G19" s="117" t="s">
        <v>833</v>
      </c>
      <c r="H19" s="119" t="str">
        <f aca="false">IF((08_Tool_Capability!Z$57+08_Tool_Capability!AA$57+08_Tool_Capability!AF$57)&gt;=3,"ผ่าน","ไม่ผ่าน")</f>
        <v>ผ่าน</v>
      </c>
      <c r="I19" s="120" t="str">
        <f aca="false">IF(08_Tool_Capability!Z$57=0,"log_mgmt ","")&amp;IF(08_Tool_Capability!AA$57=0,"siem_alert ","")&amp;IF(08_Tool_Capability!AF$57=0,"monitoring ","")</f>
        <v/>
      </c>
    </row>
    <row r="20" customFormat="false" ht="30" hidden="false" customHeight="true" outlineLevel="0" collapsed="false">
      <c r="A20" s="116" t="s">
        <v>834</v>
      </c>
      <c r="B20" s="116" t="s">
        <v>827</v>
      </c>
      <c r="C20" s="116" t="s">
        <v>765</v>
      </c>
      <c r="D20" s="116" t="s">
        <v>766</v>
      </c>
      <c r="E20" s="117" t="s">
        <v>835</v>
      </c>
      <c r="F20" s="118" t="s">
        <v>829</v>
      </c>
      <c r="G20" s="117" t="s">
        <v>836</v>
      </c>
      <c r="H20" s="119" t="str">
        <f aca="false">IF((08_Tool_Capability!S$57+08_Tool_Capability!T$57+08_Tool_Capability!G$57+08_Tool_Capability!AP$57)&gt;=4,"ผ่าน","ไม่ผ่าน")</f>
        <v>ผ่าน</v>
      </c>
      <c r="I20" s="120" t="str">
        <f aca="false">IF(08_Tool_Capability!S$57=0,"dast ","")&amp;IF(08_Tool_Capability!T$57=0,"api_security ","")&amp;IF(08_Tool_Capability!G$57=0,"sast ","")&amp;IF(08_Tool_Capability!AP$57=0,"vapt ","")</f>
        <v/>
      </c>
    </row>
    <row r="21" customFormat="false" ht="30" hidden="false" customHeight="true" outlineLevel="0" collapsed="false">
      <c r="A21" s="116" t="s">
        <v>837</v>
      </c>
      <c r="B21" s="116" t="s">
        <v>827</v>
      </c>
      <c r="C21" s="116" t="s">
        <v>765</v>
      </c>
      <c r="D21" s="116" t="s">
        <v>766</v>
      </c>
      <c r="E21" s="117" t="s">
        <v>838</v>
      </c>
      <c r="F21" s="118" t="s">
        <v>839</v>
      </c>
      <c r="G21" s="117" t="s">
        <v>840</v>
      </c>
      <c r="H21" s="119" t="str">
        <f aca="false">IF((08_Tool_Capability!Y$57+08_Tool_Capability!AQ$57+08_Tool_Capability!AM$57)&gt;=3,"ผ่าน","ไม่ผ่าน")</f>
        <v>ผ่าน</v>
      </c>
      <c r="I21" s="120" t="str">
        <f aca="false">IF(08_Tool_Capability!Y$57=0,"audit_trail ","")&amp;IF(08_Tool_Capability!AQ$57=0,"notify ","")&amp;IF(08_Tool_Capability!AM$57=0,"backup_dr ","")</f>
        <v/>
      </c>
    </row>
    <row r="22" customFormat="false" ht="30" hidden="false" customHeight="true" outlineLevel="0" collapsed="false">
      <c r="A22" s="116" t="s">
        <v>841</v>
      </c>
      <c r="B22" s="116" t="s">
        <v>842</v>
      </c>
      <c r="C22" s="116" t="s">
        <v>843</v>
      </c>
      <c r="D22" s="116" t="s">
        <v>766</v>
      </c>
      <c r="E22" s="117" t="s">
        <v>844</v>
      </c>
      <c r="F22" s="118" t="s">
        <v>845</v>
      </c>
      <c r="G22" s="117" t="s">
        <v>846</v>
      </c>
      <c r="H22" s="119" t="str">
        <f aca="false">IF((08_Tool_Capability!G$57+08_Tool_Capability!T$57+08_Tool_Capability!S$57)&gt;=3,"ผ่าน","ไม่ผ่าน")</f>
        <v>ผ่าน</v>
      </c>
      <c r="I22" s="120" t="str">
        <f aca="false">IF(08_Tool_Capability!G$57=0,"sast ","")&amp;IF(08_Tool_Capability!T$57=0,"api_security ","")&amp;IF(08_Tool_Capability!S$57=0,"dast ","")</f>
        <v/>
      </c>
    </row>
    <row r="23" customFormat="false" ht="30" hidden="false" customHeight="true" outlineLevel="0" collapsed="false">
      <c r="A23" s="116" t="s">
        <v>847</v>
      </c>
      <c r="B23" s="116" t="s">
        <v>842</v>
      </c>
      <c r="C23" s="116" t="s">
        <v>843</v>
      </c>
      <c r="D23" s="116" t="s">
        <v>766</v>
      </c>
      <c r="E23" s="117" t="s">
        <v>848</v>
      </c>
      <c r="F23" s="118" t="s">
        <v>849</v>
      </c>
      <c r="G23" s="117" t="s">
        <v>850</v>
      </c>
      <c r="H23" s="119" t="str">
        <f aca="false">IF((08_Tool_Capability!O$57+08_Tool_Capability!AH$57+08_Tool_Capability!N$57+08_Tool_Capability!AL$57)&gt;=4,"ผ่าน","ไม่ผ่าน")</f>
        <v>ผ่าน</v>
      </c>
      <c r="I23" s="120" t="str">
        <f aca="false">IF(08_Tool_Capability!O$57=0,"iac_scan ","")&amp;IF(08_Tool_Capability!AH$57=0,"config_mgmt ","")&amp;IF(08_Tool_Capability!N$57=0,"container_scan ","")&amp;IF(08_Tool_Capability!AL$57=0,"cspm ","")</f>
        <v/>
      </c>
    </row>
    <row r="24" customFormat="false" ht="30" hidden="false" customHeight="true" outlineLevel="0" collapsed="false">
      <c r="A24" s="116" t="s">
        <v>851</v>
      </c>
      <c r="B24" s="116" t="s">
        <v>842</v>
      </c>
      <c r="C24" s="116" t="s">
        <v>843</v>
      </c>
      <c r="D24" s="116" t="s">
        <v>766</v>
      </c>
      <c r="E24" s="117" t="s">
        <v>852</v>
      </c>
      <c r="F24" s="118" t="s">
        <v>853</v>
      </c>
      <c r="G24" s="117" t="s">
        <v>854</v>
      </c>
      <c r="H24" s="119" t="str">
        <f aca="false">IF((08_Tool_Capability!X$57+08_Tool_Capability!I$57+08_Tool_Capability!V$57+08_Tool_Capability!P$57)&gt;=4,"ผ่าน","ไม่ผ่าน")</f>
        <v>ผ่าน</v>
      </c>
      <c r="I24" s="120" t="str">
        <f aca="false">IF(08_Tool_Capability!X$57=0,"sbom ","")&amp;IF(08_Tool_Capability!I$57=0,"sca ","")&amp;IF(08_Tool_Capability!V$57=0,"registry ","")&amp;IF(08_Tool_Capability!P$57=0,"artifact_sign ","")</f>
        <v/>
      </c>
    </row>
    <row r="25" customFormat="false" ht="30" hidden="false" customHeight="true" outlineLevel="0" collapsed="false">
      <c r="A25" s="116" t="s">
        <v>855</v>
      </c>
      <c r="B25" s="116" t="s">
        <v>842</v>
      </c>
      <c r="C25" s="116" t="s">
        <v>843</v>
      </c>
      <c r="D25" s="116" t="s">
        <v>766</v>
      </c>
      <c r="E25" s="117" t="s">
        <v>856</v>
      </c>
      <c r="F25" s="118" t="s">
        <v>857</v>
      </c>
      <c r="G25" s="117" t="s">
        <v>858</v>
      </c>
      <c r="H25" s="119" t="str">
        <f aca="false">IF((08_Tool_Capability!AJ$57+08_Tool_Capability!AG$57)&gt;=2,"ผ่าน","ไม่ผ่าน")</f>
        <v>ผ่าน</v>
      </c>
      <c r="I25" s="120" t="str">
        <f aca="false">IF(08_Tool_Capability!AJ$57=0,"tls_check ","")&amp;IF(08_Tool_Capability!AG$57=0,"secret_mgmt ","")</f>
        <v/>
      </c>
    </row>
    <row r="26" customFormat="false" ht="30" hidden="false" customHeight="true" outlineLevel="0" collapsed="false">
      <c r="A26" s="116" t="s">
        <v>859</v>
      </c>
      <c r="B26" s="116" t="s">
        <v>842</v>
      </c>
      <c r="C26" s="116" t="s">
        <v>843</v>
      </c>
      <c r="D26" s="116" t="s">
        <v>766</v>
      </c>
      <c r="E26" s="117" t="s">
        <v>860</v>
      </c>
      <c r="F26" s="118" t="s">
        <v>861</v>
      </c>
      <c r="G26" s="117" t="s">
        <v>862</v>
      </c>
      <c r="H26" s="119" t="str">
        <f aca="false">IF((08_Tool_Capability!G$57+08_Tool_Capability!S$57)&gt;=2,"ผ่าน","ไม่ผ่าน")</f>
        <v>ผ่าน</v>
      </c>
      <c r="I26" s="120" t="str">
        <f aca="false">IF(08_Tool_Capability!G$57=0,"sast ","")&amp;IF(08_Tool_Capability!S$57=0,"dast ","")</f>
        <v/>
      </c>
    </row>
    <row r="27" customFormat="false" ht="30" hidden="false" customHeight="true" outlineLevel="0" collapsed="false">
      <c r="A27" s="116" t="s">
        <v>863</v>
      </c>
      <c r="B27" s="116" t="s">
        <v>842</v>
      </c>
      <c r="C27" s="116" t="s">
        <v>843</v>
      </c>
      <c r="D27" s="116" t="s">
        <v>813</v>
      </c>
      <c r="E27" s="117" t="s">
        <v>864</v>
      </c>
      <c r="F27" s="118" t="s">
        <v>865</v>
      </c>
      <c r="G27" s="117" t="s">
        <v>866</v>
      </c>
      <c r="H27" s="119" t="str">
        <f aca="false">IF((08_Tool_Capability!K$57+08_Tool_Capability!AB$57)&gt;=2,"ผ่าน","ไม่ผ่าน")</f>
        <v>ผ่าน</v>
      </c>
      <c r="I27" s="120" t="str">
        <f aca="false">IF(08_Tool_Capability!K$57=0,"code_quality ","")&amp;IF(08_Tool_Capability!AB$57=0,"quality_gate ","")</f>
        <v/>
      </c>
    </row>
    <row r="28" customFormat="false" ht="30" hidden="false" customHeight="true" outlineLevel="0" collapsed="false">
      <c r="A28" s="116" t="s">
        <v>867</v>
      </c>
      <c r="B28" s="116" t="s">
        <v>842</v>
      </c>
      <c r="C28" s="116" t="s">
        <v>843</v>
      </c>
      <c r="D28" s="116" t="s">
        <v>766</v>
      </c>
      <c r="E28" s="117" t="s">
        <v>868</v>
      </c>
      <c r="F28" s="118" t="s">
        <v>869</v>
      </c>
      <c r="G28" s="117" t="s">
        <v>870</v>
      </c>
      <c r="H28" s="119" t="str">
        <f aca="false">IF((08_Tool_Capability!AN$57+08_Tool_Capability!T$57)&gt;=2,"ผ่าน","ไม่ผ่าน")</f>
        <v>ผ่าน</v>
      </c>
      <c r="I28" s="120" t="str">
        <f aca="false">IF(08_Tool_Capability!AN$57=0,"iam_mfa ","")&amp;IF(08_Tool_Capability!T$57=0,"api_security ","")</f>
        <v/>
      </c>
    </row>
    <row r="29" customFormat="false" ht="30" hidden="false" customHeight="true" outlineLevel="0" collapsed="false">
      <c r="A29" s="116" t="s">
        <v>871</v>
      </c>
      <c r="B29" s="116" t="s">
        <v>842</v>
      </c>
      <c r="C29" s="116" t="s">
        <v>843</v>
      </c>
      <c r="D29" s="116" t="s">
        <v>766</v>
      </c>
      <c r="E29" s="117" t="s">
        <v>872</v>
      </c>
      <c r="F29" s="118" t="s">
        <v>873</v>
      </c>
      <c r="G29" s="117" t="s">
        <v>874</v>
      </c>
      <c r="H29" s="119" t="str">
        <f aca="false">IF((08_Tool_Capability!P$57+08_Tool_Capability!X$57+08_Tool_Capability!V$57)&gt;=3,"ผ่าน","ไม่ผ่าน")</f>
        <v>ผ่าน</v>
      </c>
      <c r="I29" s="120" t="str">
        <f aca="false">IF(08_Tool_Capability!P$57=0,"artifact_sign ","")&amp;IF(08_Tool_Capability!X$57=0,"sbom ","")&amp;IF(08_Tool_Capability!V$57=0,"registry ","")</f>
        <v/>
      </c>
    </row>
    <row r="30" customFormat="false" ht="30" hidden="false" customHeight="true" outlineLevel="0" collapsed="false">
      <c r="A30" s="116" t="s">
        <v>875</v>
      </c>
      <c r="B30" s="116" t="s">
        <v>842</v>
      </c>
      <c r="C30" s="116" t="s">
        <v>843</v>
      </c>
      <c r="D30" s="116" t="s">
        <v>766</v>
      </c>
      <c r="E30" s="117" t="s">
        <v>876</v>
      </c>
      <c r="F30" s="118" t="s">
        <v>877</v>
      </c>
      <c r="G30" s="117" t="s">
        <v>878</v>
      </c>
      <c r="H30" s="119" t="str">
        <f aca="false">IF((08_Tool_Capability!Z$57+08_Tool_Capability!AA$57+08_Tool_Capability!AF$57+08_Tool_Capability!Y$57)&gt;=4,"ผ่าน","ไม่ผ่าน")</f>
        <v>ผ่าน</v>
      </c>
      <c r="I30" s="120" t="str">
        <f aca="false">IF(08_Tool_Capability!Z$57=0,"log_mgmt ","")&amp;IF(08_Tool_Capability!AA$57=0,"siem_alert ","")&amp;IF(08_Tool_Capability!AF$57=0,"monitoring ","")&amp;IF(08_Tool_Capability!Y$57=0,"audit_trail ","")</f>
        <v/>
      </c>
    </row>
    <row r="31" customFormat="false" ht="30" hidden="false" customHeight="true" outlineLevel="0" collapsed="false">
      <c r="A31" s="116" t="s">
        <v>879</v>
      </c>
      <c r="B31" s="116" t="s">
        <v>842</v>
      </c>
      <c r="C31" s="116" t="s">
        <v>843</v>
      </c>
      <c r="D31" s="116" t="s">
        <v>813</v>
      </c>
      <c r="E31" s="117" t="s">
        <v>880</v>
      </c>
      <c r="F31" s="118" t="s">
        <v>881</v>
      </c>
      <c r="G31" s="117" t="s">
        <v>882</v>
      </c>
      <c r="H31" s="119" t="str">
        <f aca="false">IF((08_Tool_Capability!G$57+08_Tool_Capability!K$57)&gt;=2,"ผ่าน","ไม่ผ่าน")</f>
        <v>ผ่าน</v>
      </c>
      <c r="I31" s="120" t="str">
        <f aca="false">IF(08_Tool_Capability!G$57=0,"sast ","")&amp;IF(08_Tool_Capability!K$57=0,"code_quality ","")</f>
        <v/>
      </c>
    </row>
    <row r="32" customFormat="false" ht="30" hidden="false" customHeight="true" outlineLevel="0" collapsed="false">
      <c r="A32" s="116" t="s">
        <v>883</v>
      </c>
      <c r="B32" s="116" t="s">
        <v>842</v>
      </c>
      <c r="C32" s="116" t="s">
        <v>843</v>
      </c>
      <c r="D32" s="116" t="s">
        <v>813</v>
      </c>
      <c r="E32" s="117" t="s">
        <v>884</v>
      </c>
      <c r="F32" s="118" t="s">
        <v>885</v>
      </c>
      <c r="G32" s="117" t="s">
        <v>886</v>
      </c>
      <c r="H32" s="119" t="str">
        <f aca="false">IF((08_Tool_Capability!AO$57+08_Tool_Capability!AJ$57)&gt;=2,"ผ่าน","ไม่ผ่าน")</f>
        <v>ผ่าน</v>
      </c>
      <c r="I32" s="120" t="str">
        <f aca="false">IF(08_Tool_Capability!AO$57=0,"crypto_agility ","")&amp;IF(08_Tool_Capability!AJ$57=0,"tls_check ","")</f>
        <v/>
      </c>
    </row>
    <row r="33" customFormat="false" ht="30" hidden="false" customHeight="true" outlineLevel="0" collapsed="false">
      <c r="A33" s="116" t="s">
        <v>887</v>
      </c>
      <c r="B33" s="116" t="s">
        <v>888</v>
      </c>
      <c r="C33" s="116" t="s">
        <v>843</v>
      </c>
      <c r="D33" s="116" t="s">
        <v>766</v>
      </c>
      <c r="E33" s="117" t="s">
        <v>889</v>
      </c>
      <c r="F33" s="118" t="s">
        <v>890</v>
      </c>
      <c r="G33" s="117" t="s">
        <v>891</v>
      </c>
      <c r="H33" s="119" t="str">
        <f aca="false">IF((08_Tool_Capability!C$57+08_Tool_Capability!E$57+08_Tool_Capability!AB$57)&gt;=3,"ผ่าน","ไม่ผ่าน")</f>
        <v>ผ่าน</v>
      </c>
      <c r="I33" s="120" t="str">
        <f aca="false">IF(08_Tool_Capability!C$57=0,"git_scm ","")&amp;IF(08_Tool_Capability!E$57=0,"branch_protection ","")&amp;IF(08_Tool_Capability!AB$57=0,"quality_gate ","")</f>
        <v/>
      </c>
    </row>
    <row r="34" customFormat="false" ht="30" hidden="false" customHeight="true" outlineLevel="0" collapsed="false">
      <c r="A34" s="116" t="s">
        <v>122</v>
      </c>
      <c r="B34" s="116" t="s">
        <v>892</v>
      </c>
      <c r="C34" s="116" t="s">
        <v>843</v>
      </c>
      <c r="D34" s="116" t="s">
        <v>766</v>
      </c>
      <c r="E34" s="117" t="s">
        <v>893</v>
      </c>
      <c r="F34" s="118" t="s">
        <v>894</v>
      </c>
      <c r="G34" s="117" t="s">
        <v>895</v>
      </c>
      <c r="H34" s="119" t="str">
        <f aca="false">IF((08_Tool_Capability!F$57+08_Tool_Capability!D$57+08_Tool_Capability!Y$57+08_Tool_Capability!W$57)&gt;=4,"ผ่าน","ไม่ผ่าน")</f>
        <v>ผ่าน</v>
      </c>
      <c r="I34" s="120" t="str">
        <f aca="false">IF(08_Tool_Capability!F$57=0,"pipeline ","")&amp;IF(08_Tool_Capability!D$57=0,"webhook ","")&amp;IF(08_Tool_Capability!Y$57=0,"audit_trail ","")&amp;IF(08_Tool_Capability!W$57=0,"version_tag ","")</f>
        <v/>
      </c>
    </row>
    <row r="35" customFormat="false" ht="30" hidden="false" customHeight="true" outlineLevel="0" collapsed="false">
      <c r="A35" s="116" t="s">
        <v>304</v>
      </c>
      <c r="B35" s="116" t="s">
        <v>888</v>
      </c>
      <c r="C35" s="116" t="s">
        <v>843</v>
      </c>
      <c r="D35" s="116" t="s">
        <v>766</v>
      </c>
      <c r="E35" s="117" t="s">
        <v>896</v>
      </c>
      <c r="F35" s="118" t="s">
        <v>897</v>
      </c>
      <c r="G35" s="117" t="s">
        <v>898</v>
      </c>
      <c r="H35" s="119" t="str">
        <f aca="false">IF((08_Tool_Capability!Q$57+08_Tool_Capability!R$57+08_Tool_Capability!K$57)&gt;=3,"ผ่าน","ไม่ผ่าน")</f>
        <v>ผ่าน</v>
      </c>
      <c r="I35" s="120" t="str">
        <f aca="false">IF(08_Tool_Capability!Q$57=0,"unit_test ","")&amp;IF(08_Tool_Capability!R$57=0,"integration_test ","")&amp;IF(08_Tool_Capability!K$57=0,"code_quality ","")</f>
        <v/>
      </c>
    </row>
    <row r="36" customFormat="false" ht="30" hidden="false" customHeight="true" outlineLevel="0" collapsed="false">
      <c r="A36" s="116" t="s">
        <v>330</v>
      </c>
      <c r="B36" s="116" t="s">
        <v>888</v>
      </c>
      <c r="C36" s="116" t="s">
        <v>843</v>
      </c>
      <c r="D36" s="116" t="s">
        <v>775</v>
      </c>
      <c r="E36" s="117" t="s">
        <v>899</v>
      </c>
      <c r="F36" s="118" t="s">
        <v>900</v>
      </c>
      <c r="G36" s="117" t="s">
        <v>329</v>
      </c>
      <c r="H36" s="119" t="str">
        <f aca="false">IF((08_Tool_Capability!U$57)&gt;=1,"ผ่าน","ไม่ผ่าน")</f>
        <v>ผ่าน</v>
      </c>
      <c r="I36" s="120" t="str">
        <f aca="false">IF(08_Tool_Capability!U$57=0,"perf_test ","")</f>
        <v/>
      </c>
    </row>
    <row r="37" customFormat="false" ht="30" hidden="false" customHeight="true" outlineLevel="0" collapsed="false">
      <c r="A37" s="116" t="s">
        <v>901</v>
      </c>
      <c r="B37" s="116" t="s">
        <v>892</v>
      </c>
      <c r="C37" s="116" t="s">
        <v>843</v>
      </c>
      <c r="D37" s="116" t="s">
        <v>775</v>
      </c>
      <c r="E37" s="117" t="s">
        <v>902</v>
      </c>
      <c r="F37" s="118" t="s">
        <v>903</v>
      </c>
      <c r="G37" s="117" t="s">
        <v>904</v>
      </c>
      <c r="H37" s="119" t="str">
        <f aca="false">IF((08_Tool_Capability!AE$57+08_Tool_Capability!AN$57+08_Tool_Capability!AD$57)&gt;=3,"ผ่าน","ไม่ผ่าน")</f>
        <v>ผ่าน</v>
      </c>
      <c r="I37" s="120" t="str">
        <f aca="false">IF(08_Tool_Capability!AE$57=0,"runtime_security ","")&amp;IF(08_Tool_Capability!AN$57=0,"iam_mfa ","")&amp;IF(08_Tool_Capability!AD$57=0,"orchestration ","")</f>
        <v/>
      </c>
    </row>
    <row r="39" customFormat="false" ht="15" hidden="false" customHeight="false" outlineLevel="0" collapsed="false">
      <c r="D39" s="43" t="s">
        <v>905</v>
      </c>
      <c r="H39" s="121" t="n">
        <f aca="false">COUNTIF(H3:H37,"ผ่าน")/COUNTA(H3:H37)</f>
        <v>1</v>
      </c>
    </row>
    <row r="40" customFormat="false" ht="15" hidden="false" customHeight="false" outlineLevel="0" collapsed="false">
      <c r="D40" s="40" t="s">
        <v>906</v>
      </c>
      <c r="H40" s="122" t="n">
        <f aca="false">COUNTIF(H3:H37,"ไม่ผ่าน")</f>
        <v>0</v>
      </c>
    </row>
    <row r="42" customFormat="false" ht="15" hidden="false" customHeight="false" outlineLevel="0" collapsed="false">
      <c r="A42" s="87" t="s">
        <v>907</v>
      </c>
    </row>
    <row r="43" customFormat="false" ht="21.75" hidden="false" customHeight="true" outlineLevel="0" collapsed="false">
      <c r="A43" s="88" t="s">
        <v>818</v>
      </c>
      <c r="B43" s="123" t="s">
        <v>765</v>
      </c>
      <c r="C43" s="124" t="s">
        <v>908</v>
      </c>
      <c r="D43" s="124"/>
      <c r="E43" s="124"/>
      <c r="F43" s="125" t="s">
        <v>909</v>
      </c>
      <c r="G43" s="125"/>
      <c r="H43" s="125"/>
      <c r="I43" s="125"/>
    </row>
    <row r="44" customFormat="false" ht="21.75" hidden="false" customHeight="true" outlineLevel="0" collapsed="false">
      <c r="A44" s="88" t="s">
        <v>764</v>
      </c>
      <c r="B44" s="123" t="s">
        <v>765</v>
      </c>
      <c r="C44" s="124" t="s">
        <v>910</v>
      </c>
      <c r="D44" s="124"/>
      <c r="E44" s="124"/>
      <c r="F44" s="125" t="s">
        <v>911</v>
      </c>
      <c r="G44" s="125"/>
      <c r="H44" s="125"/>
      <c r="I44" s="125"/>
    </row>
    <row r="45" customFormat="false" ht="21.75" hidden="false" customHeight="true" outlineLevel="0" collapsed="false">
      <c r="A45" s="88" t="s">
        <v>790</v>
      </c>
      <c r="B45" s="123" t="s">
        <v>765</v>
      </c>
      <c r="C45" s="124" t="s">
        <v>912</v>
      </c>
      <c r="D45" s="124"/>
      <c r="E45" s="124"/>
      <c r="F45" s="125" t="s">
        <v>913</v>
      </c>
      <c r="G45" s="125"/>
      <c r="H45" s="125"/>
      <c r="I45" s="125"/>
    </row>
    <row r="46" customFormat="false" ht="21.75" hidden="false" customHeight="true" outlineLevel="0" collapsed="false">
      <c r="A46" s="88" t="s">
        <v>805</v>
      </c>
      <c r="B46" s="123" t="s">
        <v>765</v>
      </c>
      <c r="C46" s="124" t="s">
        <v>914</v>
      </c>
      <c r="D46" s="124"/>
      <c r="E46" s="124"/>
      <c r="F46" s="125" t="s">
        <v>915</v>
      </c>
      <c r="G46" s="125"/>
      <c r="H46" s="125"/>
      <c r="I46" s="125"/>
    </row>
    <row r="47" customFormat="false" ht="21.75" hidden="false" customHeight="true" outlineLevel="0" collapsed="false">
      <c r="A47" s="88" t="s">
        <v>780</v>
      </c>
      <c r="B47" s="123" t="s">
        <v>765</v>
      </c>
      <c r="C47" s="124" t="s">
        <v>916</v>
      </c>
      <c r="D47" s="124"/>
      <c r="E47" s="124"/>
      <c r="F47" s="125" t="s">
        <v>917</v>
      </c>
      <c r="G47" s="125"/>
      <c r="H47" s="125"/>
      <c r="I47" s="125"/>
    </row>
    <row r="48" customFormat="false" ht="21.75" hidden="false" customHeight="true" outlineLevel="0" collapsed="false">
      <c r="A48" s="88" t="s">
        <v>827</v>
      </c>
      <c r="B48" s="123" t="s">
        <v>765</v>
      </c>
      <c r="C48" s="124" t="s">
        <v>918</v>
      </c>
      <c r="D48" s="124"/>
      <c r="E48" s="124"/>
      <c r="F48" s="125" t="s">
        <v>919</v>
      </c>
      <c r="G48" s="125"/>
      <c r="H48" s="125"/>
      <c r="I48" s="125"/>
    </row>
    <row r="49" customFormat="false" ht="21.75" hidden="false" customHeight="true" outlineLevel="0" collapsed="false">
      <c r="A49" s="88" t="s">
        <v>888</v>
      </c>
      <c r="B49" s="123" t="s">
        <v>843</v>
      </c>
      <c r="C49" s="124" t="s">
        <v>920</v>
      </c>
      <c r="D49" s="124"/>
      <c r="E49" s="124"/>
      <c r="F49" s="125" t="s">
        <v>921</v>
      </c>
      <c r="G49" s="125"/>
      <c r="H49" s="125"/>
      <c r="I49" s="125"/>
    </row>
    <row r="50" customFormat="false" ht="21.75" hidden="false" customHeight="true" outlineLevel="0" collapsed="false">
      <c r="A50" s="88" t="s">
        <v>892</v>
      </c>
      <c r="B50" s="123" t="s">
        <v>843</v>
      </c>
      <c r="C50" s="124" t="s">
        <v>922</v>
      </c>
      <c r="D50" s="124"/>
      <c r="E50" s="124"/>
      <c r="F50" s="125" t="s">
        <v>923</v>
      </c>
      <c r="G50" s="125"/>
      <c r="H50" s="125"/>
      <c r="I50" s="125"/>
    </row>
    <row r="51" customFormat="false" ht="21.75" hidden="false" customHeight="true" outlineLevel="0" collapsed="false">
      <c r="A51" s="88" t="s">
        <v>842</v>
      </c>
      <c r="B51" s="123" t="s">
        <v>843</v>
      </c>
      <c r="C51" s="124" t="s">
        <v>924</v>
      </c>
      <c r="D51" s="124"/>
      <c r="E51" s="124"/>
      <c r="F51" s="125" t="s">
        <v>925</v>
      </c>
      <c r="G51" s="125"/>
      <c r="H51" s="125"/>
      <c r="I51" s="125"/>
    </row>
  </sheetData>
  <mergeCells count="18">
    <mergeCell ref="C43:E43"/>
    <mergeCell ref="F43:I43"/>
    <mergeCell ref="C44:E44"/>
    <mergeCell ref="F44:I44"/>
    <mergeCell ref="C45:E45"/>
    <mergeCell ref="F45:I45"/>
    <mergeCell ref="C46:E46"/>
    <mergeCell ref="F46:I46"/>
    <mergeCell ref="C47:E47"/>
    <mergeCell ref="F47:I47"/>
    <mergeCell ref="C48:E48"/>
    <mergeCell ref="F48:I48"/>
    <mergeCell ref="C49:E49"/>
    <mergeCell ref="F49:I49"/>
    <mergeCell ref="C50:E50"/>
    <mergeCell ref="F50:I50"/>
    <mergeCell ref="C51:E51"/>
    <mergeCell ref="F51:I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43" min="3" style="0" width="5.51"/>
    <col collapsed="false" customWidth="true" hidden="false" outlineLevel="0" max="45" min="45" style="0" width="10"/>
  </cols>
  <sheetData>
    <row r="1" customFormat="false" ht="24" hidden="false" customHeight="true" outlineLevel="0" collapsed="false">
      <c r="A1" s="8" t="s">
        <v>926</v>
      </c>
      <c r="C1" s="3" t="s">
        <v>927</v>
      </c>
    </row>
    <row r="2" customFormat="false" ht="109.5" hidden="false" customHeight="true" outlineLevel="0" collapsed="false">
      <c r="A2" s="9" t="s">
        <v>61</v>
      </c>
      <c r="B2" s="9" t="s">
        <v>62</v>
      </c>
      <c r="C2" s="126" t="s">
        <v>928</v>
      </c>
      <c r="D2" s="126" t="s">
        <v>929</v>
      </c>
      <c r="E2" s="126" t="s">
        <v>930</v>
      </c>
      <c r="F2" s="126" t="s">
        <v>931</v>
      </c>
      <c r="G2" s="126" t="s">
        <v>199</v>
      </c>
      <c r="H2" s="126" t="s">
        <v>208</v>
      </c>
      <c r="I2" s="126" t="s">
        <v>932</v>
      </c>
      <c r="J2" s="126" t="s">
        <v>241</v>
      </c>
      <c r="K2" s="126" t="s">
        <v>249</v>
      </c>
      <c r="L2" s="126" t="s">
        <v>257</v>
      </c>
      <c r="M2" s="126" t="s">
        <v>933</v>
      </c>
      <c r="N2" s="126" t="s">
        <v>934</v>
      </c>
      <c r="O2" s="126" t="s">
        <v>272</v>
      </c>
      <c r="P2" s="126" t="s">
        <v>280</v>
      </c>
      <c r="Q2" s="126" t="s">
        <v>935</v>
      </c>
      <c r="R2" s="126" t="s">
        <v>302</v>
      </c>
      <c r="S2" s="126" t="s">
        <v>936</v>
      </c>
      <c r="T2" s="126" t="s">
        <v>937</v>
      </c>
      <c r="U2" s="126" t="s">
        <v>329</v>
      </c>
      <c r="V2" s="126" t="s">
        <v>938</v>
      </c>
      <c r="W2" s="126" t="s">
        <v>939</v>
      </c>
      <c r="X2" s="126" t="s">
        <v>288</v>
      </c>
      <c r="Y2" s="126" t="s">
        <v>191</v>
      </c>
      <c r="Z2" s="126" t="s">
        <v>387</v>
      </c>
      <c r="AA2" s="126" t="s">
        <v>940</v>
      </c>
      <c r="AB2" s="126" t="s">
        <v>941</v>
      </c>
      <c r="AC2" s="126" t="s">
        <v>942</v>
      </c>
      <c r="AD2" s="126" t="s">
        <v>943</v>
      </c>
      <c r="AE2" s="126" t="s">
        <v>944</v>
      </c>
      <c r="AF2" s="126" t="s">
        <v>462</v>
      </c>
      <c r="AG2" s="126" t="s">
        <v>945</v>
      </c>
      <c r="AH2" s="126" t="s">
        <v>946</v>
      </c>
      <c r="AI2" s="126" t="s">
        <v>947</v>
      </c>
      <c r="AJ2" s="126" t="s">
        <v>811</v>
      </c>
      <c r="AK2" s="126" t="s">
        <v>808</v>
      </c>
      <c r="AL2" s="126" t="s">
        <v>948</v>
      </c>
      <c r="AM2" s="126" t="s">
        <v>503</v>
      </c>
      <c r="AN2" s="126" t="s">
        <v>949</v>
      </c>
      <c r="AO2" s="126" t="s">
        <v>950</v>
      </c>
      <c r="AP2" s="126" t="s">
        <v>951</v>
      </c>
      <c r="AQ2" s="126" t="s">
        <v>952</v>
      </c>
      <c r="AS2" s="127" t="s">
        <v>953</v>
      </c>
    </row>
    <row r="3" customFormat="false" ht="15.75" hidden="false" customHeight="true" outlineLevel="0" collapsed="false">
      <c r="A3" s="128" t="s">
        <v>93</v>
      </c>
      <c r="B3" s="128" t="s">
        <v>94</v>
      </c>
      <c r="C3" s="129" t="n">
        <v>1</v>
      </c>
      <c r="D3" s="129" t="n">
        <v>1</v>
      </c>
      <c r="E3" s="129" t="n">
        <v>1</v>
      </c>
      <c r="F3" s="129" t="n">
        <v>1</v>
      </c>
      <c r="G3" s="130" t="n">
        <v>0</v>
      </c>
      <c r="H3" s="130" t="n">
        <v>0</v>
      </c>
      <c r="I3" s="130" t="n">
        <v>0</v>
      </c>
      <c r="J3" s="130" t="n">
        <v>0</v>
      </c>
      <c r="K3" s="130" t="n">
        <v>0</v>
      </c>
      <c r="L3" s="130" t="n">
        <v>0</v>
      </c>
      <c r="M3" s="130" t="n">
        <v>0</v>
      </c>
      <c r="N3" s="130" t="n">
        <v>0</v>
      </c>
      <c r="O3" s="130" t="n">
        <v>0</v>
      </c>
      <c r="P3" s="130" t="n">
        <v>0</v>
      </c>
      <c r="Q3" s="130" t="n">
        <v>0</v>
      </c>
      <c r="R3" s="130" t="n">
        <v>0</v>
      </c>
      <c r="S3" s="130" t="n">
        <v>0</v>
      </c>
      <c r="T3" s="130" t="n">
        <v>0</v>
      </c>
      <c r="U3" s="130" t="n">
        <v>0</v>
      </c>
      <c r="V3" s="130" t="n">
        <v>0</v>
      </c>
      <c r="W3" s="130" t="n">
        <v>0</v>
      </c>
      <c r="X3" s="130" t="n">
        <v>0</v>
      </c>
      <c r="Y3" s="129" t="n">
        <v>1</v>
      </c>
      <c r="Z3" s="130" t="n">
        <v>0</v>
      </c>
      <c r="AA3" s="130" t="n">
        <v>0</v>
      </c>
      <c r="AB3" s="130" t="n">
        <v>0</v>
      </c>
      <c r="AC3" s="130" t="n">
        <v>0</v>
      </c>
      <c r="AD3" s="130" t="n">
        <v>0</v>
      </c>
      <c r="AE3" s="130" t="n">
        <v>0</v>
      </c>
      <c r="AF3" s="130" t="n">
        <v>0</v>
      </c>
      <c r="AG3" s="130" t="n">
        <v>0</v>
      </c>
      <c r="AH3" s="130" t="n">
        <v>0</v>
      </c>
      <c r="AI3" s="130" t="n">
        <v>0</v>
      </c>
      <c r="AJ3" s="130" t="n">
        <v>0</v>
      </c>
      <c r="AK3" s="130" t="n">
        <v>0</v>
      </c>
      <c r="AL3" s="130" t="n">
        <v>0</v>
      </c>
      <c r="AM3" s="130" t="n">
        <v>0</v>
      </c>
      <c r="AN3" s="130" t="n">
        <v>0</v>
      </c>
      <c r="AO3" s="130" t="n">
        <v>0</v>
      </c>
      <c r="AP3" s="130" t="n">
        <v>0</v>
      </c>
      <c r="AQ3" s="130" t="n">
        <v>0</v>
      </c>
      <c r="AS3" s="131" t="n">
        <f aca="false">IF(SUM(03_Colocation_Calc!$T$3:$AC$3)&gt;0,1,0)</f>
        <v>0</v>
      </c>
    </row>
    <row r="4" customFormat="false" ht="15.75" hidden="false" customHeight="true" outlineLevel="0" collapsed="false">
      <c r="A4" s="128" t="s">
        <v>109</v>
      </c>
      <c r="B4" s="128" t="s">
        <v>110</v>
      </c>
      <c r="C4" s="129" t="n">
        <v>1</v>
      </c>
      <c r="D4" s="129" t="n">
        <v>1</v>
      </c>
      <c r="E4" s="129" t="n">
        <v>1</v>
      </c>
      <c r="F4" s="130" t="n">
        <v>0</v>
      </c>
      <c r="G4" s="130" t="n">
        <v>0</v>
      </c>
      <c r="H4" s="130" t="n">
        <v>0</v>
      </c>
      <c r="I4" s="130" t="n">
        <v>0</v>
      </c>
      <c r="J4" s="130" t="n">
        <v>0</v>
      </c>
      <c r="K4" s="130" t="n">
        <v>0</v>
      </c>
      <c r="L4" s="130" t="n">
        <v>0</v>
      </c>
      <c r="M4" s="130" t="n">
        <v>0</v>
      </c>
      <c r="N4" s="130" t="n">
        <v>0</v>
      </c>
      <c r="O4" s="130" t="n">
        <v>0</v>
      </c>
      <c r="P4" s="130" t="n">
        <v>0</v>
      </c>
      <c r="Q4" s="130" t="n">
        <v>0</v>
      </c>
      <c r="R4" s="130" t="n">
        <v>0</v>
      </c>
      <c r="S4" s="130" t="n">
        <v>0</v>
      </c>
      <c r="T4" s="130" t="n">
        <v>0</v>
      </c>
      <c r="U4" s="130" t="n">
        <v>0</v>
      </c>
      <c r="V4" s="130" t="n">
        <v>0</v>
      </c>
      <c r="W4" s="130" t="n">
        <v>0</v>
      </c>
      <c r="X4" s="130" t="n">
        <v>0</v>
      </c>
      <c r="Y4" s="129" t="n">
        <v>1</v>
      </c>
      <c r="Z4" s="130" t="n">
        <v>0</v>
      </c>
      <c r="AA4" s="130" t="n">
        <v>0</v>
      </c>
      <c r="AB4" s="130" t="n">
        <v>0</v>
      </c>
      <c r="AC4" s="130" t="n">
        <v>0</v>
      </c>
      <c r="AD4" s="130" t="n">
        <v>0</v>
      </c>
      <c r="AE4" s="130" t="n">
        <v>0</v>
      </c>
      <c r="AF4" s="130" t="n">
        <v>0</v>
      </c>
      <c r="AG4" s="130" t="n">
        <v>0</v>
      </c>
      <c r="AH4" s="130" t="n">
        <v>0</v>
      </c>
      <c r="AI4" s="130" t="n">
        <v>0</v>
      </c>
      <c r="AJ4" s="130" t="n">
        <v>0</v>
      </c>
      <c r="AK4" s="130" t="n">
        <v>0</v>
      </c>
      <c r="AL4" s="130" t="n">
        <v>0</v>
      </c>
      <c r="AM4" s="130" t="n">
        <v>0</v>
      </c>
      <c r="AN4" s="130" t="n">
        <v>0</v>
      </c>
      <c r="AO4" s="130" t="n">
        <v>0</v>
      </c>
      <c r="AP4" s="130" t="n">
        <v>0</v>
      </c>
      <c r="AQ4" s="130" t="n">
        <v>0</v>
      </c>
      <c r="AS4" s="131" t="n">
        <f aca="false">IF(SUM(03_Colocation_Calc!$T$4:$AC$4)&gt;0,1,0)</f>
        <v>1</v>
      </c>
    </row>
    <row r="5" customFormat="false" ht="15.75" hidden="false" customHeight="true" outlineLevel="0" collapsed="false">
      <c r="A5" s="128" t="s">
        <v>115</v>
      </c>
      <c r="B5" s="128" t="s">
        <v>116</v>
      </c>
      <c r="C5" s="130" t="n">
        <v>0</v>
      </c>
      <c r="D5" s="129" t="n">
        <v>1</v>
      </c>
      <c r="E5" s="130" t="n">
        <v>0</v>
      </c>
      <c r="F5" s="129" t="n">
        <v>1</v>
      </c>
      <c r="G5" s="130" t="n">
        <v>0</v>
      </c>
      <c r="H5" s="130" t="n">
        <v>0</v>
      </c>
      <c r="I5" s="130" t="n">
        <v>0</v>
      </c>
      <c r="J5" s="130" t="n">
        <v>0</v>
      </c>
      <c r="K5" s="130" t="n">
        <v>0</v>
      </c>
      <c r="L5" s="129" t="n">
        <v>1</v>
      </c>
      <c r="M5" s="130" t="n">
        <v>0</v>
      </c>
      <c r="N5" s="130" t="n">
        <v>0</v>
      </c>
      <c r="O5" s="130" t="n">
        <v>0</v>
      </c>
      <c r="P5" s="130" t="n">
        <v>0</v>
      </c>
      <c r="Q5" s="130" t="n">
        <v>0</v>
      </c>
      <c r="R5" s="130" t="n">
        <v>0</v>
      </c>
      <c r="S5" s="130" t="n">
        <v>0</v>
      </c>
      <c r="T5" s="130" t="n">
        <v>0</v>
      </c>
      <c r="U5" s="130" t="n">
        <v>0</v>
      </c>
      <c r="V5" s="130" t="n">
        <v>0</v>
      </c>
      <c r="W5" s="130" t="n">
        <v>0</v>
      </c>
      <c r="X5" s="130" t="n">
        <v>0</v>
      </c>
      <c r="Y5" s="130" t="n">
        <v>0</v>
      </c>
      <c r="Z5" s="130" t="n">
        <v>0</v>
      </c>
      <c r="AA5" s="130" t="n">
        <v>0</v>
      </c>
      <c r="AB5" s="130" t="n">
        <v>0</v>
      </c>
      <c r="AC5" s="130" t="n">
        <v>0</v>
      </c>
      <c r="AD5" s="130" t="n">
        <v>0</v>
      </c>
      <c r="AE5" s="130" t="n">
        <v>0</v>
      </c>
      <c r="AF5" s="130" t="n">
        <v>0</v>
      </c>
      <c r="AG5" s="130" t="n">
        <v>0</v>
      </c>
      <c r="AH5" s="130" t="n">
        <v>0</v>
      </c>
      <c r="AI5" s="130" t="n">
        <v>0</v>
      </c>
      <c r="AJ5" s="130" t="n">
        <v>0</v>
      </c>
      <c r="AK5" s="130" t="n">
        <v>0</v>
      </c>
      <c r="AL5" s="130" t="n">
        <v>0</v>
      </c>
      <c r="AM5" s="130" t="n">
        <v>0</v>
      </c>
      <c r="AN5" s="130" t="n">
        <v>0</v>
      </c>
      <c r="AO5" s="130" t="n">
        <v>0</v>
      </c>
      <c r="AP5" s="130" t="n">
        <v>0</v>
      </c>
      <c r="AQ5" s="130" t="n">
        <v>0</v>
      </c>
      <c r="AS5" s="131" t="n">
        <f aca="false">IF(SUM(03_Colocation_Calc!$T$5:$AC$5)&gt;0,1,0)</f>
        <v>0</v>
      </c>
    </row>
    <row r="6" customFormat="false" ht="15.75" hidden="false" customHeight="true" outlineLevel="0" collapsed="false">
      <c r="A6" s="128" t="s">
        <v>126</v>
      </c>
      <c r="B6" s="128" t="s">
        <v>127</v>
      </c>
      <c r="C6" s="130" t="n">
        <v>0</v>
      </c>
      <c r="D6" s="129" t="n">
        <v>1</v>
      </c>
      <c r="E6" s="130" t="n">
        <v>0</v>
      </c>
      <c r="F6" s="129" t="n">
        <v>1</v>
      </c>
      <c r="G6" s="130" t="n">
        <v>0</v>
      </c>
      <c r="H6" s="130" t="n">
        <v>0</v>
      </c>
      <c r="I6" s="130" t="n">
        <v>0</v>
      </c>
      <c r="J6" s="130" t="n">
        <v>0</v>
      </c>
      <c r="K6" s="130" t="n">
        <v>0</v>
      </c>
      <c r="L6" s="130" t="n">
        <v>0</v>
      </c>
      <c r="M6" s="130" t="n">
        <v>0</v>
      </c>
      <c r="N6" s="130" t="n">
        <v>0</v>
      </c>
      <c r="O6" s="130" t="n">
        <v>0</v>
      </c>
      <c r="P6" s="130" t="n">
        <v>0</v>
      </c>
      <c r="Q6" s="130" t="n">
        <v>0</v>
      </c>
      <c r="R6" s="130" t="n">
        <v>0</v>
      </c>
      <c r="S6" s="130" t="n">
        <v>0</v>
      </c>
      <c r="T6" s="130" t="n">
        <v>0</v>
      </c>
      <c r="U6" s="130" t="n">
        <v>0</v>
      </c>
      <c r="V6" s="130" t="n">
        <v>0</v>
      </c>
      <c r="W6" s="130" t="n">
        <v>0</v>
      </c>
      <c r="X6" s="130" t="n">
        <v>0</v>
      </c>
      <c r="Y6" s="129" t="n">
        <v>1</v>
      </c>
      <c r="Z6" s="130" t="n">
        <v>0</v>
      </c>
      <c r="AA6" s="130" t="n">
        <v>0</v>
      </c>
      <c r="AB6" s="129" t="n">
        <v>1</v>
      </c>
      <c r="AC6" s="130" t="n">
        <v>0</v>
      </c>
      <c r="AD6" s="130" t="n">
        <v>0</v>
      </c>
      <c r="AE6" s="130" t="n">
        <v>0</v>
      </c>
      <c r="AF6" s="130" t="n">
        <v>0</v>
      </c>
      <c r="AG6" s="130" t="n">
        <v>0</v>
      </c>
      <c r="AH6" s="130" t="n">
        <v>0</v>
      </c>
      <c r="AI6" s="130" t="n">
        <v>0</v>
      </c>
      <c r="AJ6" s="130" t="n">
        <v>0</v>
      </c>
      <c r="AK6" s="130" t="n">
        <v>0</v>
      </c>
      <c r="AL6" s="130" t="n">
        <v>0</v>
      </c>
      <c r="AM6" s="130" t="n">
        <v>0</v>
      </c>
      <c r="AN6" s="130" t="n">
        <v>0</v>
      </c>
      <c r="AO6" s="130" t="n">
        <v>0</v>
      </c>
      <c r="AP6" s="130" t="n">
        <v>0</v>
      </c>
      <c r="AQ6" s="129" t="n">
        <v>1</v>
      </c>
      <c r="AS6" s="131" t="n">
        <f aca="false">IF(SUM(03_Colocation_Calc!$T$6:$AC$6)&gt;0,1,0)</f>
        <v>1</v>
      </c>
    </row>
    <row r="7" customFormat="false" ht="15.75" hidden="false" customHeight="true" outlineLevel="0" collapsed="false">
      <c r="A7" s="128" t="s">
        <v>135</v>
      </c>
      <c r="B7" s="128" t="s">
        <v>136</v>
      </c>
      <c r="C7" s="130" t="n">
        <v>0</v>
      </c>
      <c r="D7" s="130" t="n">
        <v>0</v>
      </c>
      <c r="E7" s="130" t="n">
        <v>0</v>
      </c>
      <c r="F7" s="129" t="n">
        <v>1</v>
      </c>
      <c r="G7" s="130" t="n">
        <v>0</v>
      </c>
      <c r="H7" s="130" t="n">
        <v>0</v>
      </c>
      <c r="I7" s="130" t="n">
        <v>0</v>
      </c>
      <c r="J7" s="130" t="n">
        <v>0</v>
      </c>
      <c r="K7" s="130" t="n">
        <v>0</v>
      </c>
      <c r="L7" s="129" t="n">
        <v>1</v>
      </c>
      <c r="M7" s="130" t="n">
        <v>0</v>
      </c>
      <c r="N7" s="130" t="n">
        <v>0</v>
      </c>
      <c r="O7" s="130" t="n">
        <v>0</v>
      </c>
      <c r="P7" s="130" t="n">
        <v>0</v>
      </c>
      <c r="Q7" s="129" t="n">
        <v>1</v>
      </c>
      <c r="R7" s="130" t="n">
        <v>0</v>
      </c>
      <c r="S7" s="130" t="n">
        <v>0</v>
      </c>
      <c r="T7" s="130" t="n">
        <v>0</v>
      </c>
      <c r="U7" s="130" t="n">
        <v>0</v>
      </c>
      <c r="V7" s="130" t="n">
        <v>0</v>
      </c>
      <c r="W7" s="130" t="n">
        <v>0</v>
      </c>
      <c r="X7" s="130" t="n">
        <v>0</v>
      </c>
      <c r="Y7" s="130" t="n">
        <v>0</v>
      </c>
      <c r="Z7" s="130" t="n">
        <v>0</v>
      </c>
      <c r="AA7" s="130" t="n">
        <v>0</v>
      </c>
      <c r="AB7" s="130" t="n">
        <v>0</v>
      </c>
      <c r="AC7" s="130" t="n">
        <v>0</v>
      </c>
      <c r="AD7" s="130" t="n">
        <v>0</v>
      </c>
      <c r="AE7" s="130" t="n">
        <v>0</v>
      </c>
      <c r="AF7" s="130" t="n">
        <v>0</v>
      </c>
      <c r="AG7" s="130" t="n">
        <v>0</v>
      </c>
      <c r="AH7" s="130" t="n">
        <v>0</v>
      </c>
      <c r="AI7" s="130" t="n">
        <v>0</v>
      </c>
      <c r="AJ7" s="130" t="n">
        <v>0</v>
      </c>
      <c r="AK7" s="130" t="n">
        <v>0</v>
      </c>
      <c r="AL7" s="130" t="n">
        <v>0</v>
      </c>
      <c r="AM7" s="130" t="n">
        <v>0</v>
      </c>
      <c r="AN7" s="130" t="n">
        <v>0</v>
      </c>
      <c r="AO7" s="130" t="n">
        <v>0</v>
      </c>
      <c r="AP7" s="130" t="n">
        <v>0</v>
      </c>
      <c r="AQ7" s="130" t="n">
        <v>0</v>
      </c>
      <c r="AS7" s="131" t="n">
        <f aca="false">IF(SUM(03_Colocation_Calc!$T$7:$AC$7)&gt;0,1,0)</f>
        <v>1</v>
      </c>
    </row>
    <row r="8" customFormat="false" ht="15.75" hidden="false" customHeight="true" outlineLevel="0" collapsed="false">
      <c r="A8" s="128" t="s">
        <v>143</v>
      </c>
      <c r="B8" s="128" t="s">
        <v>144</v>
      </c>
      <c r="C8" s="130" t="n">
        <v>0</v>
      </c>
      <c r="D8" s="129" t="n">
        <v>1</v>
      </c>
      <c r="E8" s="130" t="n">
        <v>0</v>
      </c>
      <c r="F8" s="129" t="n">
        <v>1</v>
      </c>
      <c r="G8" s="130" t="n">
        <v>0</v>
      </c>
      <c r="H8" s="130" t="n">
        <v>0</v>
      </c>
      <c r="I8" s="130" t="n">
        <v>0</v>
      </c>
      <c r="J8" s="130" t="n">
        <v>0</v>
      </c>
      <c r="K8" s="130" t="n">
        <v>0</v>
      </c>
      <c r="L8" s="130" t="n">
        <v>0</v>
      </c>
      <c r="M8" s="130" t="n">
        <v>0</v>
      </c>
      <c r="N8" s="130" t="n">
        <v>0</v>
      </c>
      <c r="O8" s="130" t="n">
        <v>0</v>
      </c>
      <c r="P8" s="130" t="n">
        <v>0</v>
      </c>
      <c r="Q8" s="130" t="n">
        <v>0</v>
      </c>
      <c r="R8" s="130" t="n">
        <v>0</v>
      </c>
      <c r="S8" s="130" t="n">
        <v>0</v>
      </c>
      <c r="T8" s="130" t="n">
        <v>0</v>
      </c>
      <c r="U8" s="130" t="n">
        <v>0</v>
      </c>
      <c r="V8" s="130" t="n">
        <v>0</v>
      </c>
      <c r="W8" s="130" t="n">
        <v>0</v>
      </c>
      <c r="X8" s="130" t="n">
        <v>0</v>
      </c>
      <c r="Y8" s="129" t="n">
        <v>1</v>
      </c>
      <c r="Z8" s="130" t="n">
        <v>0</v>
      </c>
      <c r="AA8" s="130" t="n">
        <v>0</v>
      </c>
      <c r="AB8" s="130" t="n">
        <v>0</v>
      </c>
      <c r="AC8" s="130" t="n">
        <v>0</v>
      </c>
      <c r="AD8" s="130" t="n">
        <v>0</v>
      </c>
      <c r="AE8" s="130" t="n">
        <v>0</v>
      </c>
      <c r="AF8" s="130" t="n">
        <v>0</v>
      </c>
      <c r="AG8" s="130" t="n">
        <v>0</v>
      </c>
      <c r="AH8" s="130" t="n">
        <v>0</v>
      </c>
      <c r="AI8" s="130" t="n">
        <v>0</v>
      </c>
      <c r="AJ8" s="130" t="n">
        <v>0</v>
      </c>
      <c r="AK8" s="130" t="n">
        <v>0</v>
      </c>
      <c r="AL8" s="130" t="n">
        <v>0</v>
      </c>
      <c r="AM8" s="130" t="n">
        <v>0</v>
      </c>
      <c r="AN8" s="130" t="n">
        <v>0</v>
      </c>
      <c r="AO8" s="130" t="n">
        <v>0</v>
      </c>
      <c r="AP8" s="130" t="n">
        <v>0</v>
      </c>
      <c r="AQ8" s="130" t="n">
        <v>0</v>
      </c>
      <c r="AS8" s="131" t="n">
        <f aca="false">IF(SUM(03_Colocation_Calc!$T$8:$AC$8)&gt;0,1,0)</f>
        <v>0</v>
      </c>
    </row>
    <row r="9" customFormat="false" ht="15.75" hidden="false" customHeight="true" outlineLevel="0" collapsed="false">
      <c r="A9" s="128" t="s">
        <v>152</v>
      </c>
      <c r="B9" s="128" t="s">
        <v>153</v>
      </c>
      <c r="C9" s="130" t="n">
        <v>0</v>
      </c>
      <c r="D9" s="130" t="n">
        <v>0</v>
      </c>
      <c r="E9" s="129" t="n">
        <v>1</v>
      </c>
      <c r="F9" s="130" t="n">
        <v>0</v>
      </c>
      <c r="G9" s="130" t="n">
        <v>0</v>
      </c>
      <c r="H9" s="130" t="n">
        <v>0</v>
      </c>
      <c r="I9" s="130" t="n">
        <v>0</v>
      </c>
      <c r="J9" s="130" t="n">
        <v>0</v>
      </c>
      <c r="K9" s="130" t="n">
        <v>0</v>
      </c>
      <c r="L9" s="130" t="n">
        <v>0</v>
      </c>
      <c r="M9" s="130" t="n">
        <v>0</v>
      </c>
      <c r="N9" s="130" t="n">
        <v>0</v>
      </c>
      <c r="O9" s="129" t="n">
        <v>1</v>
      </c>
      <c r="P9" s="130" t="n">
        <v>0</v>
      </c>
      <c r="Q9" s="130" t="n">
        <v>0</v>
      </c>
      <c r="R9" s="130" t="n">
        <v>0</v>
      </c>
      <c r="S9" s="130" t="n">
        <v>0</v>
      </c>
      <c r="T9" s="130" t="n">
        <v>0</v>
      </c>
      <c r="U9" s="130" t="n">
        <v>0</v>
      </c>
      <c r="V9" s="130" t="n">
        <v>0</v>
      </c>
      <c r="W9" s="130" t="n">
        <v>0</v>
      </c>
      <c r="X9" s="130" t="n">
        <v>0</v>
      </c>
      <c r="Y9" s="130" t="n">
        <v>0</v>
      </c>
      <c r="Z9" s="130" t="n">
        <v>0</v>
      </c>
      <c r="AA9" s="130" t="n">
        <v>0</v>
      </c>
      <c r="AB9" s="129" t="n">
        <v>1</v>
      </c>
      <c r="AC9" s="130" t="n">
        <v>0</v>
      </c>
      <c r="AD9" s="130" t="n">
        <v>0</v>
      </c>
      <c r="AE9" s="130" t="n">
        <v>0</v>
      </c>
      <c r="AF9" s="130" t="n">
        <v>0</v>
      </c>
      <c r="AG9" s="130" t="n">
        <v>0</v>
      </c>
      <c r="AH9" s="130" t="n">
        <v>0</v>
      </c>
      <c r="AI9" s="130" t="n">
        <v>0</v>
      </c>
      <c r="AJ9" s="130" t="n">
        <v>0</v>
      </c>
      <c r="AK9" s="130" t="n">
        <v>0</v>
      </c>
      <c r="AL9" s="130" t="n">
        <v>0</v>
      </c>
      <c r="AM9" s="130" t="n">
        <v>0</v>
      </c>
      <c r="AN9" s="130" t="n">
        <v>0</v>
      </c>
      <c r="AO9" s="130" t="n">
        <v>0</v>
      </c>
      <c r="AP9" s="130" t="n">
        <v>0</v>
      </c>
      <c r="AQ9" s="130" t="n">
        <v>0</v>
      </c>
      <c r="AS9" s="131" t="n">
        <f aca="false">IF(SUM(03_Colocation_Calc!$T$9:$AC$9)&gt;0,1,0)</f>
        <v>1</v>
      </c>
    </row>
    <row r="10" customFormat="false" ht="15.75" hidden="false" customHeight="true" outlineLevel="0" collapsed="false">
      <c r="A10" s="128" t="s">
        <v>164</v>
      </c>
      <c r="B10" s="128" t="s">
        <v>165</v>
      </c>
      <c r="C10" s="130" t="n">
        <v>0</v>
      </c>
      <c r="D10" s="129" t="n">
        <v>1</v>
      </c>
      <c r="E10" s="130" t="n">
        <v>0</v>
      </c>
      <c r="F10" s="130" t="n">
        <v>0</v>
      </c>
      <c r="G10" s="130" t="n">
        <v>0</v>
      </c>
      <c r="H10" s="130" t="n">
        <v>0</v>
      </c>
      <c r="I10" s="130" t="n">
        <v>0</v>
      </c>
      <c r="J10" s="130" t="n">
        <v>0</v>
      </c>
      <c r="K10" s="130" t="n">
        <v>0</v>
      </c>
      <c r="L10" s="130" t="n">
        <v>0</v>
      </c>
      <c r="M10" s="130" t="n">
        <v>0</v>
      </c>
      <c r="N10" s="130" t="n">
        <v>0</v>
      </c>
      <c r="O10" s="130" t="n">
        <v>0</v>
      </c>
      <c r="P10" s="130" t="n">
        <v>0</v>
      </c>
      <c r="Q10" s="130" t="n">
        <v>0</v>
      </c>
      <c r="R10" s="130" t="n">
        <v>0</v>
      </c>
      <c r="S10" s="130" t="n">
        <v>0</v>
      </c>
      <c r="T10" s="130" t="n">
        <v>0</v>
      </c>
      <c r="U10" s="130" t="n">
        <v>0</v>
      </c>
      <c r="V10" s="130" t="n">
        <v>0</v>
      </c>
      <c r="W10" s="130" t="n">
        <v>0</v>
      </c>
      <c r="X10" s="130" t="n">
        <v>0</v>
      </c>
      <c r="Y10" s="130" t="n">
        <v>0</v>
      </c>
      <c r="Z10" s="130" t="n">
        <v>0</v>
      </c>
      <c r="AA10" s="130" t="n">
        <v>0</v>
      </c>
      <c r="AB10" s="130" t="n">
        <v>0</v>
      </c>
      <c r="AC10" s="130" t="n">
        <v>0</v>
      </c>
      <c r="AD10" s="130" t="n">
        <v>0</v>
      </c>
      <c r="AE10" s="130" t="n">
        <v>0</v>
      </c>
      <c r="AF10" s="130" t="n">
        <v>0</v>
      </c>
      <c r="AG10" s="130" t="n">
        <v>0</v>
      </c>
      <c r="AH10" s="130" t="n">
        <v>0</v>
      </c>
      <c r="AI10" s="130" t="n">
        <v>0</v>
      </c>
      <c r="AJ10" s="129" t="n">
        <v>1</v>
      </c>
      <c r="AK10" s="130" t="n">
        <v>0</v>
      </c>
      <c r="AL10" s="130" t="n">
        <v>0</v>
      </c>
      <c r="AM10" s="130" t="n">
        <v>0</v>
      </c>
      <c r="AN10" s="130" t="n">
        <v>0</v>
      </c>
      <c r="AO10" s="130" t="n">
        <v>0</v>
      </c>
      <c r="AP10" s="130" t="n">
        <v>0</v>
      </c>
      <c r="AQ10" s="130" t="n">
        <v>0</v>
      </c>
      <c r="AS10" s="131" t="n">
        <f aca="false">IF(SUM(03_Colocation_Calc!$T$10:$AC$10)&gt;0,1,0)</f>
        <v>1</v>
      </c>
    </row>
    <row r="11" customFormat="false" ht="15.75" hidden="false" customHeight="true" outlineLevel="0" collapsed="false">
      <c r="A11" s="128" t="s">
        <v>175</v>
      </c>
      <c r="B11" s="128" t="s">
        <v>176</v>
      </c>
      <c r="C11" s="130" t="n">
        <v>0</v>
      </c>
      <c r="D11" s="130" t="n">
        <v>0</v>
      </c>
      <c r="E11" s="130" t="n">
        <v>0</v>
      </c>
      <c r="F11" s="130" t="n">
        <v>0</v>
      </c>
      <c r="G11" s="129" t="n">
        <v>1</v>
      </c>
      <c r="H11" s="130" t="n">
        <v>0</v>
      </c>
      <c r="I11" s="130" t="n">
        <v>0</v>
      </c>
      <c r="J11" s="130" t="n">
        <v>0</v>
      </c>
      <c r="K11" s="129" t="n">
        <v>1</v>
      </c>
      <c r="L11" s="130" t="n">
        <v>0</v>
      </c>
      <c r="M11" s="130" t="n">
        <v>0</v>
      </c>
      <c r="N11" s="130" t="n">
        <v>0</v>
      </c>
      <c r="O11" s="130" t="n">
        <v>0</v>
      </c>
      <c r="P11" s="130" t="n">
        <v>0</v>
      </c>
      <c r="Q11" s="130" t="n">
        <v>0</v>
      </c>
      <c r="R11" s="130" t="n">
        <v>0</v>
      </c>
      <c r="S11" s="130" t="n">
        <v>0</v>
      </c>
      <c r="T11" s="130" t="n">
        <v>0</v>
      </c>
      <c r="U11" s="130" t="n">
        <v>0</v>
      </c>
      <c r="V11" s="130" t="n">
        <v>0</v>
      </c>
      <c r="W11" s="130" t="n">
        <v>0</v>
      </c>
      <c r="X11" s="130" t="n">
        <v>0</v>
      </c>
      <c r="Y11" s="130" t="n">
        <v>0</v>
      </c>
      <c r="Z11" s="130" t="n">
        <v>0</v>
      </c>
      <c r="AA11" s="130" t="n">
        <v>0</v>
      </c>
      <c r="AB11" s="129" t="n">
        <v>1</v>
      </c>
      <c r="AC11" s="130" t="n">
        <v>0</v>
      </c>
      <c r="AD11" s="130" t="n">
        <v>0</v>
      </c>
      <c r="AE11" s="130" t="n">
        <v>0</v>
      </c>
      <c r="AF11" s="130" t="n">
        <v>0</v>
      </c>
      <c r="AG11" s="130" t="n">
        <v>0</v>
      </c>
      <c r="AH11" s="130" t="n">
        <v>0</v>
      </c>
      <c r="AI11" s="130" t="n">
        <v>0</v>
      </c>
      <c r="AJ11" s="130" t="n">
        <v>0</v>
      </c>
      <c r="AK11" s="130" t="n">
        <v>0</v>
      </c>
      <c r="AL11" s="130" t="n">
        <v>0</v>
      </c>
      <c r="AM11" s="130" t="n">
        <v>0</v>
      </c>
      <c r="AN11" s="130" t="n">
        <v>0</v>
      </c>
      <c r="AO11" s="130" t="n">
        <v>0</v>
      </c>
      <c r="AP11" s="130" t="n">
        <v>0</v>
      </c>
      <c r="AQ11" s="130" t="n">
        <v>0</v>
      </c>
      <c r="AS11" s="131" t="n">
        <f aca="false">IF(SUM(03_Colocation_Calc!$T$11:$AC$11)&gt;0,1,0)</f>
        <v>1</v>
      </c>
    </row>
    <row r="12" customFormat="false" ht="15.75" hidden="false" customHeight="true" outlineLevel="0" collapsed="false">
      <c r="A12" s="128" t="s">
        <v>187</v>
      </c>
      <c r="B12" s="128" t="s">
        <v>188</v>
      </c>
      <c r="C12" s="130" t="n">
        <v>0</v>
      </c>
      <c r="D12" s="130" t="n">
        <v>0</v>
      </c>
      <c r="E12" s="130" t="n">
        <v>0</v>
      </c>
      <c r="F12" s="130" t="n">
        <v>0</v>
      </c>
      <c r="G12" s="130" t="n">
        <v>0</v>
      </c>
      <c r="H12" s="130" t="n">
        <v>0</v>
      </c>
      <c r="I12" s="130" t="n">
        <v>0</v>
      </c>
      <c r="J12" s="130" t="n">
        <v>0</v>
      </c>
      <c r="K12" s="130" t="n">
        <v>0</v>
      </c>
      <c r="L12" s="130" t="n">
        <v>0</v>
      </c>
      <c r="M12" s="130" t="n">
        <v>0</v>
      </c>
      <c r="N12" s="130" t="n">
        <v>0</v>
      </c>
      <c r="O12" s="130" t="n">
        <v>0</v>
      </c>
      <c r="P12" s="130" t="n">
        <v>0</v>
      </c>
      <c r="Q12" s="130" t="n">
        <v>0</v>
      </c>
      <c r="R12" s="130" t="n">
        <v>0</v>
      </c>
      <c r="S12" s="130" t="n">
        <v>0</v>
      </c>
      <c r="T12" s="130" t="n">
        <v>0</v>
      </c>
      <c r="U12" s="130" t="n">
        <v>0</v>
      </c>
      <c r="V12" s="130" t="n">
        <v>0</v>
      </c>
      <c r="W12" s="130" t="n">
        <v>0</v>
      </c>
      <c r="X12" s="130" t="n">
        <v>0</v>
      </c>
      <c r="Y12" s="129" t="n">
        <v>1</v>
      </c>
      <c r="Z12" s="130" t="n">
        <v>0</v>
      </c>
      <c r="AA12" s="130" t="n">
        <v>0</v>
      </c>
      <c r="AB12" s="130" t="n">
        <v>0</v>
      </c>
      <c r="AC12" s="130" t="n">
        <v>0</v>
      </c>
      <c r="AD12" s="130" t="n">
        <v>0</v>
      </c>
      <c r="AE12" s="130" t="n">
        <v>0</v>
      </c>
      <c r="AF12" s="130" t="n">
        <v>0</v>
      </c>
      <c r="AG12" s="130" t="n">
        <v>0</v>
      </c>
      <c r="AH12" s="130" t="n">
        <v>0</v>
      </c>
      <c r="AI12" s="130" t="n">
        <v>0</v>
      </c>
      <c r="AJ12" s="130" t="n">
        <v>0</v>
      </c>
      <c r="AK12" s="130" t="n">
        <v>0</v>
      </c>
      <c r="AL12" s="130" t="n">
        <v>0</v>
      </c>
      <c r="AM12" s="130" t="n">
        <v>0</v>
      </c>
      <c r="AN12" s="130" t="n">
        <v>0</v>
      </c>
      <c r="AO12" s="130" t="n">
        <v>0</v>
      </c>
      <c r="AP12" s="130" t="n">
        <v>0</v>
      </c>
      <c r="AQ12" s="130" t="n">
        <v>0</v>
      </c>
      <c r="AS12" s="131" t="n">
        <f aca="false">IF(SUM(03_Colocation_Calc!$T$12:$AC$12)&gt;0,1,0)</f>
        <v>1</v>
      </c>
    </row>
    <row r="13" customFormat="false" ht="15.75" hidden="false" customHeight="true" outlineLevel="0" collapsed="false">
      <c r="A13" s="128" t="s">
        <v>195</v>
      </c>
      <c r="B13" s="128" t="s">
        <v>196</v>
      </c>
      <c r="C13" s="130" t="n">
        <v>0</v>
      </c>
      <c r="D13" s="130" t="n">
        <v>0</v>
      </c>
      <c r="E13" s="130" t="n">
        <v>0</v>
      </c>
      <c r="F13" s="130" t="n">
        <v>0</v>
      </c>
      <c r="G13" s="129" t="n">
        <v>1</v>
      </c>
      <c r="H13" s="130" t="n">
        <v>0</v>
      </c>
      <c r="I13" s="130" t="n">
        <v>0</v>
      </c>
      <c r="J13" s="130" t="n">
        <v>0</v>
      </c>
      <c r="K13" s="130" t="n">
        <v>0</v>
      </c>
      <c r="L13" s="130" t="n">
        <v>0</v>
      </c>
      <c r="M13" s="130" t="n">
        <v>0</v>
      </c>
      <c r="N13" s="130" t="n">
        <v>0</v>
      </c>
      <c r="O13" s="130" t="n">
        <v>0</v>
      </c>
      <c r="P13" s="130" t="n">
        <v>0</v>
      </c>
      <c r="Q13" s="130" t="n">
        <v>0</v>
      </c>
      <c r="R13" s="130" t="n">
        <v>0</v>
      </c>
      <c r="S13" s="130" t="n">
        <v>0</v>
      </c>
      <c r="T13" s="130" t="n">
        <v>0</v>
      </c>
      <c r="U13" s="130" t="n">
        <v>0</v>
      </c>
      <c r="V13" s="130" t="n">
        <v>0</v>
      </c>
      <c r="W13" s="130" t="n">
        <v>0</v>
      </c>
      <c r="X13" s="130" t="n">
        <v>0</v>
      </c>
      <c r="Y13" s="130" t="n">
        <v>0</v>
      </c>
      <c r="Z13" s="130" t="n">
        <v>0</v>
      </c>
      <c r="AA13" s="130" t="n">
        <v>0</v>
      </c>
      <c r="AB13" s="130" t="n">
        <v>0</v>
      </c>
      <c r="AC13" s="130" t="n">
        <v>0</v>
      </c>
      <c r="AD13" s="130" t="n">
        <v>0</v>
      </c>
      <c r="AE13" s="130" t="n">
        <v>0</v>
      </c>
      <c r="AF13" s="130" t="n">
        <v>0</v>
      </c>
      <c r="AG13" s="130" t="n">
        <v>0</v>
      </c>
      <c r="AH13" s="130" t="n">
        <v>0</v>
      </c>
      <c r="AI13" s="130" t="n">
        <v>0</v>
      </c>
      <c r="AJ13" s="130" t="n">
        <v>0</v>
      </c>
      <c r="AK13" s="130" t="n">
        <v>0</v>
      </c>
      <c r="AL13" s="130" t="n">
        <v>0</v>
      </c>
      <c r="AM13" s="130" t="n">
        <v>0</v>
      </c>
      <c r="AN13" s="130" t="n">
        <v>0</v>
      </c>
      <c r="AO13" s="130" t="n">
        <v>0</v>
      </c>
      <c r="AP13" s="130" t="n">
        <v>0</v>
      </c>
      <c r="AQ13" s="130" t="n">
        <v>0</v>
      </c>
      <c r="AS13" s="131" t="n">
        <f aca="false">IF(SUM(03_Colocation_Calc!$T$13:$AC$13)&gt;0,1,0)</f>
        <v>1</v>
      </c>
    </row>
    <row r="14" customFormat="false" ht="15.75" hidden="false" customHeight="true" outlineLevel="0" collapsed="false">
      <c r="A14" s="128" t="s">
        <v>205</v>
      </c>
      <c r="B14" s="128" t="s">
        <v>206</v>
      </c>
      <c r="C14" s="130" t="n">
        <v>0</v>
      </c>
      <c r="D14" s="130" t="n">
        <v>0</v>
      </c>
      <c r="E14" s="130" t="n">
        <v>0</v>
      </c>
      <c r="F14" s="130" t="n">
        <v>0</v>
      </c>
      <c r="G14" s="130" t="n">
        <v>0</v>
      </c>
      <c r="H14" s="129" t="n">
        <v>1</v>
      </c>
      <c r="I14" s="130" t="n">
        <v>0</v>
      </c>
      <c r="J14" s="130" t="n">
        <v>0</v>
      </c>
      <c r="K14" s="130" t="n">
        <v>0</v>
      </c>
      <c r="L14" s="130" t="n">
        <v>0</v>
      </c>
      <c r="M14" s="130" t="n">
        <v>0</v>
      </c>
      <c r="N14" s="130" t="n">
        <v>0</v>
      </c>
      <c r="O14" s="130" t="n">
        <v>0</v>
      </c>
      <c r="P14" s="130" t="n">
        <v>0</v>
      </c>
      <c r="Q14" s="130" t="n">
        <v>0</v>
      </c>
      <c r="R14" s="130" t="n">
        <v>0</v>
      </c>
      <c r="S14" s="130" t="n">
        <v>0</v>
      </c>
      <c r="T14" s="130" t="n">
        <v>0</v>
      </c>
      <c r="U14" s="130" t="n">
        <v>0</v>
      </c>
      <c r="V14" s="130" t="n">
        <v>0</v>
      </c>
      <c r="W14" s="130" t="n">
        <v>0</v>
      </c>
      <c r="X14" s="130" t="n">
        <v>0</v>
      </c>
      <c r="Y14" s="130" t="n">
        <v>0</v>
      </c>
      <c r="Z14" s="130" t="n">
        <v>0</v>
      </c>
      <c r="AA14" s="130" t="n">
        <v>0</v>
      </c>
      <c r="AB14" s="130" t="n">
        <v>0</v>
      </c>
      <c r="AC14" s="130" t="n">
        <v>0</v>
      </c>
      <c r="AD14" s="130" t="n">
        <v>0</v>
      </c>
      <c r="AE14" s="130" t="n">
        <v>0</v>
      </c>
      <c r="AF14" s="130" t="n">
        <v>0</v>
      </c>
      <c r="AG14" s="130" t="n">
        <v>0</v>
      </c>
      <c r="AH14" s="130" t="n">
        <v>0</v>
      </c>
      <c r="AI14" s="130" t="n">
        <v>0</v>
      </c>
      <c r="AJ14" s="130" t="n">
        <v>0</v>
      </c>
      <c r="AK14" s="130" t="n">
        <v>0</v>
      </c>
      <c r="AL14" s="130" t="n">
        <v>0</v>
      </c>
      <c r="AM14" s="130" t="n">
        <v>0</v>
      </c>
      <c r="AN14" s="130" t="n">
        <v>0</v>
      </c>
      <c r="AO14" s="130" t="n">
        <v>0</v>
      </c>
      <c r="AP14" s="130" t="n">
        <v>0</v>
      </c>
      <c r="AQ14" s="130" t="n">
        <v>0</v>
      </c>
      <c r="AS14" s="131" t="n">
        <f aca="false">IF(SUM(03_Colocation_Calc!$T$14:$AC$14)&gt;0,1,0)</f>
        <v>1</v>
      </c>
    </row>
    <row r="15" customFormat="false" ht="15.75" hidden="false" customHeight="true" outlineLevel="0" collapsed="false">
      <c r="A15" s="128" t="s">
        <v>214</v>
      </c>
      <c r="B15" s="128" t="s">
        <v>215</v>
      </c>
      <c r="C15" s="130" t="n">
        <v>0</v>
      </c>
      <c r="D15" s="130" t="n">
        <v>0</v>
      </c>
      <c r="E15" s="130" t="n">
        <v>0</v>
      </c>
      <c r="F15" s="130" t="n">
        <v>0</v>
      </c>
      <c r="G15" s="130" t="n">
        <v>0</v>
      </c>
      <c r="H15" s="130" t="n">
        <v>0</v>
      </c>
      <c r="I15" s="129" t="n">
        <v>1</v>
      </c>
      <c r="J15" s="130" t="n">
        <v>0</v>
      </c>
      <c r="K15" s="130" t="n">
        <v>0</v>
      </c>
      <c r="L15" s="130" t="n">
        <v>0</v>
      </c>
      <c r="M15" s="130" t="n">
        <v>0</v>
      </c>
      <c r="N15" s="130" t="n">
        <v>0</v>
      </c>
      <c r="O15" s="130" t="n">
        <v>0</v>
      </c>
      <c r="P15" s="130" t="n">
        <v>0</v>
      </c>
      <c r="Q15" s="130" t="n">
        <v>0</v>
      </c>
      <c r="R15" s="130" t="n">
        <v>0</v>
      </c>
      <c r="S15" s="130" t="n">
        <v>0</v>
      </c>
      <c r="T15" s="130" t="n">
        <v>0</v>
      </c>
      <c r="U15" s="130" t="n">
        <v>0</v>
      </c>
      <c r="V15" s="130" t="n">
        <v>0</v>
      </c>
      <c r="W15" s="130" t="n">
        <v>0</v>
      </c>
      <c r="X15" s="129" t="n">
        <v>1</v>
      </c>
      <c r="Y15" s="130" t="n">
        <v>0</v>
      </c>
      <c r="Z15" s="130" t="n">
        <v>0</v>
      </c>
      <c r="AA15" s="130" t="n">
        <v>0</v>
      </c>
      <c r="AB15" s="130" t="n">
        <v>0</v>
      </c>
      <c r="AC15" s="130" t="n">
        <v>0</v>
      </c>
      <c r="AD15" s="130" t="n">
        <v>0</v>
      </c>
      <c r="AE15" s="130" t="n">
        <v>0</v>
      </c>
      <c r="AF15" s="130" t="n">
        <v>0</v>
      </c>
      <c r="AG15" s="130" t="n">
        <v>0</v>
      </c>
      <c r="AH15" s="130" t="n">
        <v>0</v>
      </c>
      <c r="AI15" s="130" t="n">
        <v>0</v>
      </c>
      <c r="AJ15" s="130" t="n">
        <v>0</v>
      </c>
      <c r="AK15" s="130" t="n">
        <v>0</v>
      </c>
      <c r="AL15" s="130" t="n">
        <v>0</v>
      </c>
      <c r="AM15" s="130" t="n">
        <v>0</v>
      </c>
      <c r="AN15" s="130" t="n">
        <v>0</v>
      </c>
      <c r="AO15" s="130" t="n">
        <v>0</v>
      </c>
      <c r="AP15" s="130" t="n">
        <v>0</v>
      </c>
      <c r="AQ15" s="130" t="n">
        <v>0</v>
      </c>
      <c r="AS15" s="131" t="n">
        <f aca="false">IF(SUM(03_Colocation_Calc!$T$15:$AC$15)&gt;0,1,0)</f>
        <v>1</v>
      </c>
    </row>
    <row r="16" customFormat="false" ht="15.75" hidden="false" customHeight="true" outlineLevel="0" collapsed="false">
      <c r="A16" s="128" t="s">
        <v>226</v>
      </c>
      <c r="B16" s="128" t="s">
        <v>227</v>
      </c>
      <c r="C16" s="130" t="n">
        <v>0</v>
      </c>
      <c r="D16" s="130" t="n">
        <v>0</v>
      </c>
      <c r="E16" s="130" t="n">
        <v>0</v>
      </c>
      <c r="F16" s="130" t="n">
        <v>0</v>
      </c>
      <c r="G16" s="130" t="n">
        <v>0</v>
      </c>
      <c r="H16" s="129" t="n">
        <v>1</v>
      </c>
      <c r="I16" s="129" t="n">
        <v>1</v>
      </c>
      <c r="J16" s="130" t="n">
        <v>0</v>
      </c>
      <c r="K16" s="130" t="n">
        <v>0</v>
      </c>
      <c r="L16" s="130" t="n">
        <v>0</v>
      </c>
      <c r="M16" s="130" t="n">
        <v>0</v>
      </c>
      <c r="N16" s="129" t="n">
        <v>1</v>
      </c>
      <c r="O16" s="129" t="n">
        <v>1</v>
      </c>
      <c r="P16" s="130" t="n">
        <v>0</v>
      </c>
      <c r="Q16" s="130" t="n">
        <v>0</v>
      </c>
      <c r="R16" s="130" t="n">
        <v>0</v>
      </c>
      <c r="S16" s="130" t="n">
        <v>0</v>
      </c>
      <c r="T16" s="130" t="n">
        <v>0</v>
      </c>
      <c r="U16" s="130" t="n">
        <v>0</v>
      </c>
      <c r="V16" s="130" t="n">
        <v>0</v>
      </c>
      <c r="W16" s="130" t="n">
        <v>0</v>
      </c>
      <c r="X16" s="129" t="n">
        <v>1</v>
      </c>
      <c r="Y16" s="130" t="n">
        <v>0</v>
      </c>
      <c r="Z16" s="130" t="n">
        <v>0</v>
      </c>
      <c r="AA16" s="130" t="n">
        <v>0</v>
      </c>
      <c r="AB16" s="130" t="n">
        <v>0</v>
      </c>
      <c r="AC16" s="130" t="n">
        <v>0</v>
      </c>
      <c r="AD16" s="130" t="n">
        <v>0</v>
      </c>
      <c r="AE16" s="130" t="n">
        <v>0</v>
      </c>
      <c r="AF16" s="130" t="n">
        <v>0</v>
      </c>
      <c r="AG16" s="130" t="n">
        <v>0</v>
      </c>
      <c r="AH16" s="130" t="n">
        <v>0</v>
      </c>
      <c r="AI16" s="130" t="n">
        <v>0</v>
      </c>
      <c r="AJ16" s="130" t="n">
        <v>0</v>
      </c>
      <c r="AK16" s="130" t="n">
        <v>0</v>
      </c>
      <c r="AL16" s="130" t="n">
        <v>0</v>
      </c>
      <c r="AM16" s="130" t="n">
        <v>0</v>
      </c>
      <c r="AN16" s="130" t="n">
        <v>0</v>
      </c>
      <c r="AO16" s="130" t="n">
        <v>0</v>
      </c>
      <c r="AP16" s="130" t="n">
        <v>0</v>
      </c>
      <c r="AQ16" s="130" t="n">
        <v>0</v>
      </c>
      <c r="AS16" s="131" t="n">
        <f aca="false">IF(SUM(03_Colocation_Calc!$T$16:$AC$16)&gt;0,1,0)</f>
        <v>1</v>
      </c>
    </row>
    <row r="17" customFormat="false" ht="15.75" hidden="false" customHeight="true" outlineLevel="0" collapsed="false">
      <c r="A17" s="128" t="s">
        <v>236</v>
      </c>
      <c r="B17" s="128" t="s">
        <v>237</v>
      </c>
      <c r="C17" s="130" t="n">
        <v>0</v>
      </c>
      <c r="D17" s="130" t="n">
        <v>0</v>
      </c>
      <c r="E17" s="130" t="n">
        <v>0</v>
      </c>
      <c r="F17" s="130" t="n">
        <v>0</v>
      </c>
      <c r="G17" s="130" t="n">
        <v>0</v>
      </c>
      <c r="H17" s="130" t="n">
        <v>0</v>
      </c>
      <c r="I17" s="130" t="n">
        <v>0</v>
      </c>
      <c r="J17" s="129" t="n">
        <v>1</v>
      </c>
      <c r="K17" s="130" t="n">
        <v>0</v>
      </c>
      <c r="L17" s="130" t="n">
        <v>0</v>
      </c>
      <c r="M17" s="130" t="n">
        <v>0</v>
      </c>
      <c r="N17" s="130" t="n">
        <v>0</v>
      </c>
      <c r="O17" s="130" t="n">
        <v>0</v>
      </c>
      <c r="P17" s="130" t="n">
        <v>0</v>
      </c>
      <c r="Q17" s="130" t="n">
        <v>0</v>
      </c>
      <c r="R17" s="130" t="n">
        <v>0</v>
      </c>
      <c r="S17" s="130" t="n">
        <v>0</v>
      </c>
      <c r="T17" s="130" t="n">
        <v>0</v>
      </c>
      <c r="U17" s="130" t="n">
        <v>0</v>
      </c>
      <c r="V17" s="130" t="n">
        <v>0</v>
      </c>
      <c r="W17" s="130" t="n">
        <v>0</v>
      </c>
      <c r="X17" s="130" t="n">
        <v>0</v>
      </c>
      <c r="Y17" s="130" t="n">
        <v>0</v>
      </c>
      <c r="Z17" s="130" t="n">
        <v>0</v>
      </c>
      <c r="AA17" s="130" t="n">
        <v>0</v>
      </c>
      <c r="AB17" s="130" t="n">
        <v>0</v>
      </c>
      <c r="AC17" s="130" t="n">
        <v>0</v>
      </c>
      <c r="AD17" s="130" t="n">
        <v>0</v>
      </c>
      <c r="AE17" s="130" t="n">
        <v>0</v>
      </c>
      <c r="AF17" s="130" t="n">
        <v>0</v>
      </c>
      <c r="AG17" s="130" t="n">
        <v>0</v>
      </c>
      <c r="AH17" s="130" t="n">
        <v>0</v>
      </c>
      <c r="AI17" s="130" t="n">
        <v>0</v>
      </c>
      <c r="AJ17" s="130" t="n">
        <v>0</v>
      </c>
      <c r="AK17" s="130" t="n">
        <v>0</v>
      </c>
      <c r="AL17" s="130" t="n">
        <v>0</v>
      </c>
      <c r="AM17" s="130" t="n">
        <v>0</v>
      </c>
      <c r="AN17" s="130" t="n">
        <v>0</v>
      </c>
      <c r="AO17" s="130" t="n">
        <v>0</v>
      </c>
      <c r="AP17" s="130" t="n">
        <v>0</v>
      </c>
      <c r="AQ17" s="130" t="n">
        <v>0</v>
      </c>
      <c r="AS17" s="131" t="n">
        <f aca="false">IF(SUM(03_Colocation_Calc!$T$17:$AC$17)&gt;0,1,0)</f>
        <v>0</v>
      </c>
    </row>
    <row r="18" customFormat="false" ht="15.75" hidden="false" customHeight="true" outlineLevel="0" collapsed="false">
      <c r="A18" s="128" t="s">
        <v>246</v>
      </c>
      <c r="B18" s="128" t="s">
        <v>247</v>
      </c>
      <c r="C18" s="130" t="n">
        <v>0</v>
      </c>
      <c r="D18" s="130" t="n">
        <v>0</v>
      </c>
      <c r="E18" s="130" t="n">
        <v>0</v>
      </c>
      <c r="F18" s="130" t="n">
        <v>0</v>
      </c>
      <c r="G18" s="130" t="n">
        <v>0</v>
      </c>
      <c r="H18" s="130" t="n">
        <v>0</v>
      </c>
      <c r="I18" s="130" t="n">
        <v>0</v>
      </c>
      <c r="J18" s="130" t="n">
        <v>0</v>
      </c>
      <c r="K18" s="129" t="n">
        <v>1</v>
      </c>
      <c r="L18" s="130" t="n">
        <v>0</v>
      </c>
      <c r="M18" s="130" t="n">
        <v>0</v>
      </c>
      <c r="N18" s="130" t="n">
        <v>0</v>
      </c>
      <c r="O18" s="130" t="n">
        <v>0</v>
      </c>
      <c r="P18" s="130" t="n">
        <v>0</v>
      </c>
      <c r="Q18" s="130" t="n">
        <v>0</v>
      </c>
      <c r="R18" s="130" t="n">
        <v>0</v>
      </c>
      <c r="S18" s="130" t="n">
        <v>0</v>
      </c>
      <c r="T18" s="130" t="n">
        <v>0</v>
      </c>
      <c r="U18" s="130" t="n">
        <v>0</v>
      </c>
      <c r="V18" s="130" t="n">
        <v>0</v>
      </c>
      <c r="W18" s="130" t="n">
        <v>0</v>
      </c>
      <c r="X18" s="130" t="n">
        <v>0</v>
      </c>
      <c r="Y18" s="130" t="n">
        <v>0</v>
      </c>
      <c r="Z18" s="130" t="n">
        <v>0</v>
      </c>
      <c r="AA18" s="130" t="n">
        <v>0</v>
      </c>
      <c r="AB18" s="130" t="n">
        <v>0</v>
      </c>
      <c r="AC18" s="130" t="n">
        <v>0</v>
      </c>
      <c r="AD18" s="130" t="n">
        <v>0</v>
      </c>
      <c r="AE18" s="130" t="n">
        <v>0</v>
      </c>
      <c r="AF18" s="130" t="n">
        <v>0</v>
      </c>
      <c r="AG18" s="130" t="n">
        <v>0</v>
      </c>
      <c r="AH18" s="130" t="n">
        <v>0</v>
      </c>
      <c r="AI18" s="130" t="n">
        <v>0</v>
      </c>
      <c r="AJ18" s="130" t="n">
        <v>0</v>
      </c>
      <c r="AK18" s="130" t="n">
        <v>0</v>
      </c>
      <c r="AL18" s="130" t="n">
        <v>0</v>
      </c>
      <c r="AM18" s="130" t="n">
        <v>0</v>
      </c>
      <c r="AN18" s="130" t="n">
        <v>0</v>
      </c>
      <c r="AO18" s="130" t="n">
        <v>0</v>
      </c>
      <c r="AP18" s="130" t="n">
        <v>0</v>
      </c>
      <c r="AQ18" s="130" t="n">
        <v>0</v>
      </c>
      <c r="AS18" s="131" t="n">
        <f aca="false">IF(SUM(03_Colocation_Calc!$T$18:$AC$18)&gt;0,1,0)</f>
        <v>1</v>
      </c>
    </row>
    <row r="19" customFormat="false" ht="15.75" hidden="false" customHeight="true" outlineLevel="0" collapsed="false">
      <c r="A19" s="128" t="s">
        <v>254</v>
      </c>
      <c r="B19" s="128" t="s">
        <v>255</v>
      </c>
      <c r="C19" s="130" t="n">
        <v>0</v>
      </c>
      <c r="D19" s="130" t="n">
        <v>0</v>
      </c>
      <c r="E19" s="130" t="n">
        <v>0</v>
      </c>
      <c r="F19" s="130" t="n">
        <v>0</v>
      </c>
      <c r="G19" s="130" t="n">
        <v>0</v>
      </c>
      <c r="H19" s="130" t="n">
        <v>0</v>
      </c>
      <c r="I19" s="130" t="n">
        <v>0</v>
      </c>
      <c r="J19" s="130" t="n">
        <v>0</v>
      </c>
      <c r="K19" s="130" t="n">
        <v>0</v>
      </c>
      <c r="L19" s="129" t="n">
        <v>1</v>
      </c>
      <c r="M19" s="130" t="n">
        <v>0</v>
      </c>
      <c r="N19" s="130" t="n">
        <v>0</v>
      </c>
      <c r="O19" s="130" t="n">
        <v>0</v>
      </c>
      <c r="P19" s="130" t="n">
        <v>0</v>
      </c>
      <c r="Q19" s="130" t="n">
        <v>0</v>
      </c>
      <c r="R19" s="130" t="n">
        <v>0</v>
      </c>
      <c r="S19" s="130" t="n">
        <v>0</v>
      </c>
      <c r="T19" s="130" t="n">
        <v>0</v>
      </c>
      <c r="U19" s="130" t="n">
        <v>0</v>
      </c>
      <c r="V19" s="130" t="n">
        <v>0</v>
      </c>
      <c r="W19" s="130" t="n">
        <v>0</v>
      </c>
      <c r="X19" s="130" t="n">
        <v>0</v>
      </c>
      <c r="Y19" s="130" t="n">
        <v>0</v>
      </c>
      <c r="Z19" s="130" t="n">
        <v>0</v>
      </c>
      <c r="AA19" s="130" t="n">
        <v>0</v>
      </c>
      <c r="AB19" s="130" t="n">
        <v>0</v>
      </c>
      <c r="AC19" s="130" t="n">
        <v>0</v>
      </c>
      <c r="AD19" s="130" t="n">
        <v>0</v>
      </c>
      <c r="AE19" s="130" t="n">
        <v>0</v>
      </c>
      <c r="AF19" s="130" t="n">
        <v>0</v>
      </c>
      <c r="AG19" s="130" t="n">
        <v>0</v>
      </c>
      <c r="AH19" s="130" t="n">
        <v>0</v>
      </c>
      <c r="AI19" s="130" t="n">
        <v>0</v>
      </c>
      <c r="AJ19" s="130" t="n">
        <v>0</v>
      </c>
      <c r="AK19" s="130" t="n">
        <v>0</v>
      </c>
      <c r="AL19" s="130" t="n">
        <v>0</v>
      </c>
      <c r="AM19" s="130" t="n">
        <v>0</v>
      </c>
      <c r="AN19" s="130" t="n">
        <v>0</v>
      </c>
      <c r="AO19" s="130" t="n">
        <v>0</v>
      </c>
      <c r="AP19" s="130" t="n">
        <v>0</v>
      </c>
      <c r="AQ19" s="130" t="n">
        <v>0</v>
      </c>
      <c r="AS19" s="131" t="n">
        <f aca="false">IF(SUM(03_Colocation_Calc!$T$19:$AC$19)&gt;0,1,0)</f>
        <v>1</v>
      </c>
    </row>
    <row r="20" customFormat="false" ht="15.75" hidden="false" customHeight="true" outlineLevel="0" collapsed="false">
      <c r="A20" s="128" t="s">
        <v>261</v>
      </c>
      <c r="B20" s="128" t="s">
        <v>262</v>
      </c>
      <c r="C20" s="130" t="n">
        <v>0</v>
      </c>
      <c r="D20" s="130" t="n">
        <v>0</v>
      </c>
      <c r="E20" s="130" t="n">
        <v>0</v>
      </c>
      <c r="F20" s="130" t="n">
        <v>0</v>
      </c>
      <c r="G20" s="130" t="n">
        <v>0</v>
      </c>
      <c r="H20" s="130" t="n">
        <v>0</v>
      </c>
      <c r="I20" s="130" t="n">
        <v>0</v>
      </c>
      <c r="J20" s="130" t="n">
        <v>0</v>
      </c>
      <c r="K20" s="130" t="n">
        <v>0</v>
      </c>
      <c r="L20" s="129" t="n">
        <v>1</v>
      </c>
      <c r="M20" s="129" t="n">
        <v>1</v>
      </c>
      <c r="N20" s="130" t="n">
        <v>0</v>
      </c>
      <c r="O20" s="130" t="n">
        <v>0</v>
      </c>
      <c r="P20" s="130" t="n">
        <v>0</v>
      </c>
      <c r="Q20" s="130" t="n">
        <v>0</v>
      </c>
      <c r="R20" s="130" t="n">
        <v>0</v>
      </c>
      <c r="S20" s="130" t="n">
        <v>0</v>
      </c>
      <c r="T20" s="130" t="n">
        <v>0</v>
      </c>
      <c r="U20" s="130" t="n">
        <v>0</v>
      </c>
      <c r="V20" s="130" t="n">
        <v>0</v>
      </c>
      <c r="W20" s="130" t="n">
        <v>0</v>
      </c>
      <c r="X20" s="130" t="n">
        <v>0</v>
      </c>
      <c r="Y20" s="130" t="n">
        <v>0</v>
      </c>
      <c r="Z20" s="130" t="n">
        <v>0</v>
      </c>
      <c r="AA20" s="130" t="n">
        <v>0</v>
      </c>
      <c r="AB20" s="130" t="n">
        <v>0</v>
      </c>
      <c r="AC20" s="130" t="n">
        <v>0</v>
      </c>
      <c r="AD20" s="130" t="n">
        <v>0</v>
      </c>
      <c r="AE20" s="130" t="n">
        <v>0</v>
      </c>
      <c r="AF20" s="130" t="n">
        <v>0</v>
      </c>
      <c r="AG20" s="130" t="n">
        <v>0</v>
      </c>
      <c r="AH20" s="130" t="n">
        <v>0</v>
      </c>
      <c r="AI20" s="130" t="n">
        <v>0</v>
      </c>
      <c r="AJ20" s="130" t="n">
        <v>0</v>
      </c>
      <c r="AK20" s="130" t="n">
        <v>0</v>
      </c>
      <c r="AL20" s="130" t="n">
        <v>0</v>
      </c>
      <c r="AM20" s="130" t="n">
        <v>0</v>
      </c>
      <c r="AN20" s="130" t="n">
        <v>0</v>
      </c>
      <c r="AO20" s="130" t="n">
        <v>0</v>
      </c>
      <c r="AP20" s="130" t="n">
        <v>0</v>
      </c>
      <c r="AQ20" s="130" t="n">
        <v>0</v>
      </c>
      <c r="AS20" s="131" t="n">
        <f aca="false">IF(SUM(03_Colocation_Calc!$T$20:$AC$20)&gt;0,1,0)</f>
        <v>1</v>
      </c>
    </row>
    <row r="21" customFormat="false" ht="15.75" hidden="false" customHeight="true" outlineLevel="0" collapsed="false">
      <c r="A21" s="128" t="s">
        <v>269</v>
      </c>
      <c r="B21" s="128" t="s">
        <v>270</v>
      </c>
      <c r="C21" s="130" t="n">
        <v>0</v>
      </c>
      <c r="D21" s="130" t="n">
        <v>0</v>
      </c>
      <c r="E21" s="130" t="n">
        <v>0</v>
      </c>
      <c r="F21" s="130" t="n">
        <v>0</v>
      </c>
      <c r="G21" s="130" t="n">
        <v>0</v>
      </c>
      <c r="H21" s="130" t="n">
        <v>0</v>
      </c>
      <c r="I21" s="130" t="n">
        <v>0</v>
      </c>
      <c r="J21" s="130" t="n">
        <v>0</v>
      </c>
      <c r="K21" s="130" t="n">
        <v>0</v>
      </c>
      <c r="L21" s="130" t="n">
        <v>0</v>
      </c>
      <c r="M21" s="130" t="n">
        <v>0</v>
      </c>
      <c r="N21" s="130" t="n">
        <v>0</v>
      </c>
      <c r="O21" s="129" t="n">
        <v>1</v>
      </c>
      <c r="P21" s="130" t="n">
        <v>0</v>
      </c>
      <c r="Q21" s="130" t="n">
        <v>0</v>
      </c>
      <c r="R21" s="130" t="n">
        <v>0</v>
      </c>
      <c r="S21" s="130" t="n">
        <v>0</v>
      </c>
      <c r="T21" s="130" t="n">
        <v>0</v>
      </c>
      <c r="U21" s="130" t="n">
        <v>0</v>
      </c>
      <c r="V21" s="130" t="n">
        <v>0</v>
      </c>
      <c r="W21" s="130" t="n">
        <v>0</v>
      </c>
      <c r="X21" s="130" t="n">
        <v>0</v>
      </c>
      <c r="Y21" s="130" t="n">
        <v>0</v>
      </c>
      <c r="Z21" s="130" t="n">
        <v>0</v>
      </c>
      <c r="AA21" s="130" t="n">
        <v>0</v>
      </c>
      <c r="AB21" s="130" t="n">
        <v>0</v>
      </c>
      <c r="AC21" s="130" t="n">
        <v>0</v>
      </c>
      <c r="AD21" s="130" t="n">
        <v>0</v>
      </c>
      <c r="AE21" s="130" t="n">
        <v>0</v>
      </c>
      <c r="AF21" s="130" t="n">
        <v>0</v>
      </c>
      <c r="AG21" s="130" t="n">
        <v>0</v>
      </c>
      <c r="AH21" s="130" t="n">
        <v>0</v>
      </c>
      <c r="AI21" s="130" t="n">
        <v>0</v>
      </c>
      <c r="AJ21" s="130" t="n">
        <v>0</v>
      </c>
      <c r="AK21" s="130" t="n">
        <v>0</v>
      </c>
      <c r="AL21" s="130" t="n">
        <v>0</v>
      </c>
      <c r="AM21" s="130" t="n">
        <v>0</v>
      </c>
      <c r="AN21" s="130" t="n">
        <v>0</v>
      </c>
      <c r="AO21" s="130" t="n">
        <v>0</v>
      </c>
      <c r="AP21" s="130" t="n">
        <v>0</v>
      </c>
      <c r="AQ21" s="130" t="n">
        <v>0</v>
      </c>
      <c r="AS21" s="131" t="n">
        <f aca="false">IF(SUM(03_Colocation_Calc!$T$21:$AC$21)&gt;0,1,0)</f>
        <v>1</v>
      </c>
    </row>
    <row r="22" customFormat="false" ht="15.75" hidden="false" customHeight="true" outlineLevel="0" collapsed="false">
      <c r="A22" s="128" t="s">
        <v>277</v>
      </c>
      <c r="B22" s="128" t="s">
        <v>278</v>
      </c>
      <c r="C22" s="130" t="n">
        <v>0</v>
      </c>
      <c r="D22" s="130" t="n">
        <v>0</v>
      </c>
      <c r="E22" s="130" t="n">
        <v>0</v>
      </c>
      <c r="F22" s="130" t="n">
        <v>0</v>
      </c>
      <c r="G22" s="130" t="n">
        <v>0</v>
      </c>
      <c r="H22" s="130" t="n">
        <v>0</v>
      </c>
      <c r="I22" s="130" t="n">
        <v>0</v>
      </c>
      <c r="J22" s="130" t="n">
        <v>0</v>
      </c>
      <c r="K22" s="130" t="n">
        <v>0</v>
      </c>
      <c r="L22" s="130" t="n">
        <v>0</v>
      </c>
      <c r="M22" s="130" t="n">
        <v>0</v>
      </c>
      <c r="N22" s="130" t="n">
        <v>0</v>
      </c>
      <c r="O22" s="130" t="n">
        <v>0</v>
      </c>
      <c r="P22" s="129" t="n">
        <v>1</v>
      </c>
      <c r="Q22" s="130" t="n">
        <v>0</v>
      </c>
      <c r="R22" s="130" t="n">
        <v>0</v>
      </c>
      <c r="S22" s="130" t="n">
        <v>0</v>
      </c>
      <c r="T22" s="130" t="n">
        <v>0</v>
      </c>
      <c r="U22" s="130" t="n">
        <v>0</v>
      </c>
      <c r="V22" s="130" t="n">
        <v>0</v>
      </c>
      <c r="W22" s="130" t="n">
        <v>0</v>
      </c>
      <c r="X22" s="130" t="n">
        <v>0</v>
      </c>
      <c r="Y22" s="130" t="n">
        <v>0</v>
      </c>
      <c r="Z22" s="130" t="n">
        <v>0</v>
      </c>
      <c r="AA22" s="130" t="n">
        <v>0</v>
      </c>
      <c r="AB22" s="130" t="n">
        <v>0</v>
      </c>
      <c r="AC22" s="130" t="n">
        <v>0</v>
      </c>
      <c r="AD22" s="130" t="n">
        <v>0</v>
      </c>
      <c r="AE22" s="130" t="n">
        <v>0</v>
      </c>
      <c r="AF22" s="130" t="n">
        <v>0</v>
      </c>
      <c r="AG22" s="130" t="n">
        <v>0</v>
      </c>
      <c r="AH22" s="130" t="n">
        <v>0</v>
      </c>
      <c r="AI22" s="130" t="n">
        <v>0</v>
      </c>
      <c r="AJ22" s="130" t="n">
        <v>0</v>
      </c>
      <c r="AK22" s="130" t="n">
        <v>0</v>
      </c>
      <c r="AL22" s="130" t="n">
        <v>0</v>
      </c>
      <c r="AM22" s="130" t="n">
        <v>0</v>
      </c>
      <c r="AN22" s="130" t="n">
        <v>0</v>
      </c>
      <c r="AO22" s="130" t="n">
        <v>0</v>
      </c>
      <c r="AP22" s="130" t="n">
        <v>0</v>
      </c>
      <c r="AQ22" s="130" t="n">
        <v>0</v>
      </c>
      <c r="AS22" s="131" t="n">
        <f aca="false">IF(SUM(03_Colocation_Calc!$T$22:$AC$22)&gt;0,1,0)</f>
        <v>1</v>
      </c>
    </row>
    <row r="23" customFormat="false" ht="15.75" hidden="false" customHeight="true" outlineLevel="0" collapsed="false">
      <c r="A23" s="128" t="s">
        <v>285</v>
      </c>
      <c r="B23" s="128" t="s">
        <v>286</v>
      </c>
      <c r="C23" s="130" t="n">
        <v>0</v>
      </c>
      <c r="D23" s="130" t="n">
        <v>0</v>
      </c>
      <c r="E23" s="130" t="n">
        <v>0</v>
      </c>
      <c r="F23" s="130" t="n">
        <v>0</v>
      </c>
      <c r="G23" s="130" t="n">
        <v>0</v>
      </c>
      <c r="H23" s="130" t="n">
        <v>0</v>
      </c>
      <c r="I23" s="130" t="n">
        <v>0</v>
      </c>
      <c r="J23" s="130" t="n">
        <v>0</v>
      </c>
      <c r="K23" s="130" t="n">
        <v>0</v>
      </c>
      <c r="L23" s="130" t="n">
        <v>0</v>
      </c>
      <c r="M23" s="130" t="n">
        <v>0</v>
      </c>
      <c r="N23" s="130" t="n">
        <v>0</v>
      </c>
      <c r="O23" s="130" t="n">
        <v>0</v>
      </c>
      <c r="P23" s="130" t="n">
        <v>0</v>
      </c>
      <c r="Q23" s="130" t="n">
        <v>0</v>
      </c>
      <c r="R23" s="130" t="n">
        <v>0</v>
      </c>
      <c r="S23" s="130" t="n">
        <v>0</v>
      </c>
      <c r="T23" s="130" t="n">
        <v>0</v>
      </c>
      <c r="U23" s="130" t="n">
        <v>0</v>
      </c>
      <c r="V23" s="130" t="n">
        <v>0</v>
      </c>
      <c r="W23" s="130" t="n">
        <v>0</v>
      </c>
      <c r="X23" s="129" t="n">
        <v>1</v>
      </c>
      <c r="Y23" s="130" t="n">
        <v>0</v>
      </c>
      <c r="Z23" s="130" t="n">
        <v>0</v>
      </c>
      <c r="AA23" s="130" t="n">
        <v>0</v>
      </c>
      <c r="AB23" s="130" t="n">
        <v>0</v>
      </c>
      <c r="AC23" s="130" t="n">
        <v>0</v>
      </c>
      <c r="AD23" s="130" t="n">
        <v>0</v>
      </c>
      <c r="AE23" s="130" t="n">
        <v>0</v>
      </c>
      <c r="AF23" s="130" t="n">
        <v>0</v>
      </c>
      <c r="AG23" s="130" t="n">
        <v>0</v>
      </c>
      <c r="AH23" s="130" t="n">
        <v>0</v>
      </c>
      <c r="AI23" s="130" t="n">
        <v>0</v>
      </c>
      <c r="AJ23" s="130" t="n">
        <v>0</v>
      </c>
      <c r="AK23" s="130" t="n">
        <v>0</v>
      </c>
      <c r="AL23" s="130" t="n">
        <v>0</v>
      </c>
      <c r="AM23" s="130" t="n">
        <v>0</v>
      </c>
      <c r="AN23" s="130" t="n">
        <v>0</v>
      </c>
      <c r="AO23" s="130" t="n">
        <v>0</v>
      </c>
      <c r="AP23" s="130" t="n">
        <v>0</v>
      </c>
      <c r="AQ23" s="130" t="n">
        <v>0</v>
      </c>
      <c r="AS23" s="131" t="n">
        <f aca="false">IF(SUM(03_Colocation_Calc!$T$23:$AC$23)&gt;0,1,0)</f>
        <v>1</v>
      </c>
    </row>
    <row r="24" customFormat="false" ht="15.75" hidden="false" customHeight="true" outlineLevel="0" collapsed="false">
      <c r="A24" s="128" t="s">
        <v>292</v>
      </c>
      <c r="B24" s="128" t="s">
        <v>293</v>
      </c>
      <c r="C24" s="130" t="n">
        <v>0</v>
      </c>
      <c r="D24" s="130" t="n">
        <v>0</v>
      </c>
      <c r="E24" s="130" t="n">
        <v>0</v>
      </c>
      <c r="F24" s="130" t="n">
        <v>0</v>
      </c>
      <c r="G24" s="130" t="n">
        <v>0</v>
      </c>
      <c r="H24" s="130" t="n">
        <v>0</v>
      </c>
      <c r="I24" s="130" t="n">
        <v>0</v>
      </c>
      <c r="J24" s="130" t="n">
        <v>0</v>
      </c>
      <c r="K24" s="129" t="n">
        <v>1</v>
      </c>
      <c r="L24" s="130" t="n">
        <v>0</v>
      </c>
      <c r="M24" s="130" t="n">
        <v>0</v>
      </c>
      <c r="N24" s="130" t="n">
        <v>0</v>
      </c>
      <c r="O24" s="130" t="n">
        <v>0</v>
      </c>
      <c r="P24" s="130" t="n">
        <v>0</v>
      </c>
      <c r="Q24" s="129" t="n">
        <v>1</v>
      </c>
      <c r="R24" s="130" t="n">
        <v>0</v>
      </c>
      <c r="S24" s="130" t="n">
        <v>0</v>
      </c>
      <c r="T24" s="130" t="n">
        <v>0</v>
      </c>
      <c r="U24" s="130" t="n">
        <v>0</v>
      </c>
      <c r="V24" s="130" t="n">
        <v>0</v>
      </c>
      <c r="W24" s="130" t="n">
        <v>0</v>
      </c>
      <c r="X24" s="130" t="n">
        <v>0</v>
      </c>
      <c r="Y24" s="130" t="n">
        <v>0</v>
      </c>
      <c r="Z24" s="130" t="n">
        <v>0</v>
      </c>
      <c r="AA24" s="130" t="n">
        <v>0</v>
      </c>
      <c r="AB24" s="130" t="n">
        <v>0</v>
      </c>
      <c r="AC24" s="130" t="n">
        <v>0</v>
      </c>
      <c r="AD24" s="130" t="n">
        <v>0</v>
      </c>
      <c r="AE24" s="130" t="n">
        <v>0</v>
      </c>
      <c r="AF24" s="130" t="n">
        <v>0</v>
      </c>
      <c r="AG24" s="130" t="n">
        <v>0</v>
      </c>
      <c r="AH24" s="130" t="n">
        <v>0</v>
      </c>
      <c r="AI24" s="130" t="n">
        <v>0</v>
      </c>
      <c r="AJ24" s="130" t="n">
        <v>0</v>
      </c>
      <c r="AK24" s="130" t="n">
        <v>0</v>
      </c>
      <c r="AL24" s="130" t="n">
        <v>0</v>
      </c>
      <c r="AM24" s="130" t="n">
        <v>0</v>
      </c>
      <c r="AN24" s="130" t="n">
        <v>0</v>
      </c>
      <c r="AO24" s="130" t="n">
        <v>0</v>
      </c>
      <c r="AP24" s="130" t="n">
        <v>0</v>
      </c>
      <c r="AQ24" s="130" t="n">
        <v>0</v>
      </c>
      <c r="AS24" s="131" t="n">
        <f aca="false">IF(SUM(03_Colocation_Calc!$T$24:$AC$24)&gt;0,1,0)</f>
        <v>1</v>
      </c>
    </row>
    <row r="25" customFormat="false" ht="15.75" hidden="false" customHeight="true" outlineLevel="0" collapsed="false">
      <c r="A25" s="128" t="s">
        <v>299</v>
      </c>
      <c r="B25" s="128" t="s">
        <v>300</v>
      </c>
      <c r="C25" s="130" t="n">
        <v>0</v>
      </c>
      <c r="D25" s="130" t="n">
        <v>0</v>
      </c>
      <c r="E25" s="130" t="n">
        <v>0</v>
      </c>
      <c r="F25" s="130" t="n">
        <v>0</v>
      </c>
      <c r="G25" s="130" t="n">
        <v>0</v>
      </c>
      <c r="H25" s="130" t="n">
        <v>0</v>
      </c>
      <c r="I25" s="130" t="n">
        <v>0</v>
      </c>
      <c r="J25" s="130" t="n">
        <v>0</v>
      </c>
      <c r="K25" s="130" t="n">
        <v>0</v>
      </c>
      <c r="L25" s="130" t="n">
        <v>0</v>
      </c>
      <c r="M25" s="130" t="n">
        <v>0</v>
      </c>
      <c r="N25" s="130" t="n">
        <v>0</v>
      </c>
      <c r="O25" s="130" t="n">
        <v>0</v>
      </c>
      <c r="P25" s="130" t="n">
        <v>0</v>
      </c>
      <c r="Q25" s="130" t="n">
        <v>0</v>
      </c>
      <c r="R25" s="129" t="n">
        <v>1</v>
      </c>
      <c r="S25" s="130" t="n">
        <v>0</v>
      </c>
      <c r="T25" s="130" t="n">
        <v>0</v>
      </c>
      <c r="U25" s="130" t="n">
        <v>0</v>
      </c>
      <c r="V25" s="130" t="n">
        <v>0</v>
      </c>
      <c r="W25" s="130" t="n">
        <v>0</v>
      </c>
      <c r="X25" s="130" t="n">
        <v>0</v>
      </c>
      <c r="Y25" s="130" t="n">
        <v>0</v>
      </c>
      <c r="Z25" s="130" t="n">
        <v>0</v>
      </c>
      <c r="AA25" s="130" t="n">
        <v>0</v>
      </c>
      <c r="AB25" s="130" t="n">
        <v>0</v>
      </c>
      <c r="AC25" s="130" t="n">
        <v>0</v>
      </c>
      <c r="AD25" s="130" t="n">
        <v>0</v>
      </c>
      <c r="AE25" s="130" t="n">
        <v>0</v>
      </c>
      <c r="AF25" s="130" t="n">
        <v>0</v>
      </c>
      <c r="AG25" s="130" t="n">
        <v>0</v>
      </c>
      <c r="AH25" s="130" t="n">
        <v>0</v>
      </c>
      <c r="AI25" s="130" t="n">
        <v>0</v>
      </c>
      <c r="AJ25" s="130" t="n">
        <v>0</v>
      </c>
      <c r="AK25" s="130" t="n">
        <v>0</v>
      </c>
      <c r="AL25" s="130" t="n">
        <v>0</v>
      </c>
      <c r="AM25" s="130" t="n">
        <v>0</v>
      </c>
      <c r="AN25" s="130" t="n">
        <v>0</v>
      </c>
      <c r="AO25" s="130" t="n">
        <v>0</v>
      </c>
      <c r="AP25" s="130" t="n">
        <v>0</v>
      </c>
      <c r="AQ25" s="130" t="n">
        <v>0</v>
      </c>
      <c r="AS25" s="131" t="n">
        <f aca="false">IF(SUM(03_Colocation_Calc!$T$25:$AC$25)&gt;0,1,0)</f>
        <v>1</v>
      </c>
    </row>
    <row r="26" customFormat="false" ht="15.75" hidden="false" customHeight="true" outlineLevel="0" collapsed="false">
      <c r="A26" s="128" t="s">
        <v>308</v>
      </c>
      <c r="B26" s="128" t="s">
        <v>309</v>
      </c>
      <c r="C26" s="130" t="n">
        <v>0</v>
      </c>
      <c r="D26" s="130" t="n">
        <v>0</v>
      </c>
      <c r="E26" s="130" t="n">
        <v>0</v>
      </c>
      <c r="F26" s="130" t="n">
        <v>0</v>
      </c>
      <c r="G26" s="130" t="n">
        <v>0</v>
      </c>
      <c r="H26" s="130" t="n">
        <v>0</v>
      </c>
      <c r="I26" s="130" t="n">
        <v>0</v>
      </c>
      <c r="J26" s="130" t="n">
        <v>0</v>
      </c>
      <c r="K26" s="130" t="n">
        <v>0</v>
      </c>
      <c r="L26" s="130" t="n">
        <v>0</v>
      </c>
      <c r="M26" s="130" t="n">
        <v>0</v>
      </c>
      <c r="N26" s="130" t="n">
        <v>0</v>
      </c>
      <c r="O26" s="130" t="n">
        <v>0</v>
      </c>
      <c r="P26" s="130" t="n">
        <v>0</v>
      </c>
      <c r="Q26" s="130" t="n">
        <v>0</v>
      </c>
      <c r="R26" s="130" t="n">
        <v>0</v>
      </c>
      <c r="S26" s="129" t="n">
        <v>1</v>
      </c>
      <c r="T26" s="129" t="n">
        <v>1</v>
      </c>
      <c r="U26" s="130" t="n">
        <v>0</v>
      </c>
      <c r="V26" s="130" t="n">
        <v>0</v>
      </c>
      <c r="W26" s="130" t="n">
        <v>0</v>
      </c>
      <c r="X26" s="130" t="n">
        <v>0</v>
      </c>
      <c r="Y26" s="130" t="n">
        <v>0</v>
      </c>
      <c r="Z26" s="130" t="n">
        <v>0</v>
      </c>
      <c r="AA26" s="130" t="n">
        <v>0</v>
      </c>
      <c r="AB26" s="130" t="n">
        <v>0</v>
      </c>
      <c r="AC26" s="130" t="n">
        <v>0</v>
      </c>
      <c r="AD26" s="130" t="n">
        <v>0</v>
      </c>
      <c r="AE26" s="130" t="n">
        <v>0</v>
      </c>
      <c r="AF26" s="130" t="n">
        <v>0</v>
      </c>
      <c r="AG26" s="130" t="n">
        <v>0</v>
      </c>
      <c r="AH26" s="130" t="n">
        <v>0</v>
      </c>
      <c r="AI26" s="130" t="n">
        <v>0</v>
      </c>
      <c r="AJ26" s="130" t="n">
        <v>0</v>
      </c>
      <c r="AK26" s="130" t="n">
        <v>0</v>
      </c>
      <c r="AL26" s="130" t="n">
        <v>0</v>
      </c>
      <c r="AM26" s="130" t="n">
        <v>0</v>
      </c>
      <c r="AN26" s="130" t="n">
        <v>0</v>
      </c>
      <c r="AO26" s="130" t="n">
        <v>0</v>
      </c>
      <c r="AP26" s="129" t="n">
        <v>1</v>
      </c>
      <c r="AQ26" s="130" t="n">
        <v>0</v>
      </c>
      <c r="AS26" s="131" t="n">
        <f aca="false">IF(SUM(03_Colocation_Calc!$T$26:$AC$26)&gt;0,1,0)</f>
        <v>1</v>
      </c>
    </row>
    <row r="27" customFormat="false" ht="15.75" hidden="false" customHeight="true" outlineLevel="0" collapsed="false">
      <c r="A27" s="128" t="s">
        <v>317</v>
      </c>
      <c r="B27" s="128" t="s">
        <v>318</v>
      </c>
      <c r="C27" s="130" t="n">
        <v>0</v>
      </c>
      <c r="D27" s="130" t="n">
        <v>0</v>
      </c>
      <c r="E27" s="130" t="n">
        <v>0</v>
      </c>
      <c r="F27" s="130" t="n">
        <v>0</v>
      </c>
      <c r="G27" s="130" t="n">
        <v>0</v>
      </c>
      <c r="H27" s="130" t="n">
        <v>0</v>
      </c>
      <c r="I27" s="130" t="n">
        <v>0</v>
      </c>
      <c r="J27" s="130" t="n">
        <v>0</v>
      </c>
      <c r="K27" s="130" t="n">
        <v>0</v>
      </c>
      <c r="L27" s="130" t="n">
        <v>0</v>
      </c>
      <c r="M27" s="130" t="n">
        <v>0</v>
      </c>
      <c r="N27" s="130" t="n">
        <v>0</v>
      </c>
      <c r="O27" s="130" t="n">
        <v>0</v>
      </c>
      <c r="P27" s="130" t="n">
        <v>0</v>
      </c>
      <c r="Q27" s="130" t="n">
        <v>0</v>
      </c>
      <c r="R27" s="130" t="n">
        <v>0</v>
      </c>
      <c r="S27" s="129" t="n">
        <v>1</v>
      </c>
      <c r="T27" s="129" t="n">
        <v>1</v>
      </c>
      <c r="U27" s="130" t="n">
        <v>0</v>
      </c>
      <c r="V27" s="130" t="n">
        <v>0</v>
      </c>
      <c r="W27" s="130" t="n">
        <v>0</v>
      </c>
      <c r="X27" s="130" t="n">
        <v>0</v>
      </c>
      <c r="Y27" s="130" t="n">
        <v>0</v>
      </c>
      <c r="Z27" s="130" t="n">
        <v>0</v>
      </c>
      <c r="AA27" s="130" t="n">
        <v>0</v>
      </c>
      <c r="AB27" s="130" t="n">
        <v>0</v>
      </c>
      <c r="AC27" s="130" t="n">
        <v>0</v>
      </c>
      <c r="AD27" s="130" t="n">
        <v>0</v>
      </c>
      <c r="AE27" s="130" t="n">
        <v>0</v>
      </c>
      <c r="AF27" s="130" t="n">
        <v>0</v>
      </c>
      <c r="AG27" s="130" t="n">
        <v>0</v>
      </c>
      <c r="AH27" s="130" t="n">
        <v>0</v>
      </c>
      <c r="AI27" s="130" t="n">
        <v>0</v>
      </c>
      <c r="AJ27" s="129" t="n">
        <v>1</v>
      </c>
      <c r="AK27" s="130" t="n">
        <v>0</v>
      </c>
      <c r="AL27" s="130" t="n">
        <v>0</v>
      </c>
      <c r="AM27" s="130" t="n">
        <v>0</v>
      </c>
      <c r="AN27" s="130" t="n">
        <v>0</v>
      </c>
      <c r="AO27" s="130" t="n">
        <v>0</v>
      </c>
      <c r="AP27" s="129" t="n">
        <v>1</v>
      </c>
      <c r="AQ27" s="130" t="n">
        <v>0</v>
      </c>
      <c r="AS27" s="131" t="n">
        <f aca="false">IF(SUM(03_Colocation_Calc!$T$27:$AC$27)&gt;0,1,0)</f>
        <v>1</v>
      </c>
    </row>
    <row r="28" customFormat="false" ht="15.75" hidden="false" customHeight="true" outlineLevel="0" collapsed="false">
      <c r="A28" s="128" t="s">
        <v>325</v>
      </c>
      <c r="B28" s="128" t="s">
        <v>326</v>
      </c>
      <c r="C28" s="130" t="n">
        <v>0</v>
      </c>
      <c r="D28" s="130" t="n">
        <v>0</v>
      </c>
      <c r="E28" s="130" t="n">
        <v>0</v>
      </c>
      <c r="F28" s="130" t="n">
        <v>0</v>
      </c>
      <c r="G28" s="130" t="n">
        <v>0</v>
      </c>
      <c r="H28" s="130" t="n">
        <v>0</v>
      </c>
      <c r="I28" s="130" t="n">
        <v>0</v>
      </c>
      <c r="J28" s="130" t="n">
        <v>0</v>
      </c>
      <c r="K28" s="130" t="n">
        <v>0</v>
      </c>
      <c r="L28" s="130" t="n">
        <v>0</v>
      </c>
      <c r="M28" s="130" t="n">
        <v>0</v>
      </c>
      <c r="N28" s="130" t="n">
        <v>0</v>
      </c>
      <c r="O28" s="130" t="n">
        <v>0</v>
      </c>
      <c r="P28" s="130" t="n">
        <v>0</v>
      </c>
      <c r="Q28" s="130" t="n">
        <v>0</v>
      </c>
      <c r="R28" s="130" t="n">
        <v>0</v>
      </c>
      <c r="S28" s="130" t="n">
        <v>0</v>
      </c>
      <c r="T28" s="130" t="n">
        <v>0</v>
      </c>
      <c r="U28" s="129" t="n">
        <v>1</v>
      </c>
      <c r="V28" s="130" t="n">
        <v>0</v>
      </c>
      <c r="W28" s="130" t="n">
        <v>0</v>
      </c>
      <c r="X28" s="130" t="n">
        <v>0</v>
      </c>
      <c r="Y28" s="130" t="n">
        <v>0</v>
      </c>
      <c r="Z28" s="130" t="n">
        <v>0</v>
      </c>
      <c r="AA28" s="130" t="n">
        <v>0</v>
      </c>
      <c r="AB28" s="130" t="n">
        <v>0</v>
      </c>
      <c r="AC28" s="130" t="n">
        <v>0</v>
      </c>
      <c r="AD28" s="130" t="n">
        <v>0</v>
      </c>
      <c r="AE28" s="130" t="n">
        <v>0</v>
      </c>
      <c r="AF28" s="130" t="n">
        <v>0</v>
      </c>
      <c r="AG28" s="130" t="n">
        <v>0</v>
      </c>
      <c r="AH28" s="130" t="n">
        <v>0</v>
      </c>
      <c r="AI28" s="130" t="n">
        <v>0</v>
      </c>
      <c r="AJ28" s="130" t="n">
        <v>0</v>
      </c>
      <c r="AK28" s="130" t="n">
        <v>0</v>
      </c>
      <c r="AL28" s="130" t="n">
        <v>0</v>
      </c>
      <c r="AM28" s="130" t="n">
        <v>0</v>
      </c>
      <c r="AN28" s="130" t="n">
        <v>0</v>
      </c>
      <c r="AO28" s="130" t="n">
        <v>0</v>
      </c>
      <c r="AP28" s="130" t="n">
        <v>0</v>
      </c>
      <c r="AQ28" s="130" t="n">
        <v>0</v>
      </c>
      <c r="AS28" s="131" t="n">
        <f aca="false">IF(SUM(03_Colocation_Calc!$T$28:$AC$28)&gt;0,1,0)</f>
        <v>1</v>
      </c>
    </row>
    <row r="29" customFormat="false" ht="15.75" hidden="false" customHeight="true" outlineLevel="0" collapsed="false">
      <c r="A29" s="128" t="s">
        <v>335</v>
      </c>
      <c r="B29" s="128" t="s">
        <v>336</v>
      </c>
      <c r="C29" s="130" t="n">
        <v>0</v>
      </c>
      <c r="D29" s="130" t="n">
        <v>0</v>
      </c>
      <c r="E29" s="130" t="n">
        <v>0</v>
      </c>
      <c r="F29" s="130" t="n">
        <v>0</v>
      </c>
      <c r="G29" s="130" t="n">
        <v>0</v>
      </c>
      <c r="H29" s="130" t="n">
        <v>0</v>
      </c>
      <c r="I29" s="130" t="n">
        <v>0</v>
      </c>
      <c r="J29" s="130" t="n">
        <v>0</v>
      </c>
      <c r="K29" s="130" t="n">
        <v>0</v>
      </c>
      <c r="L29" s="130" t="n">
        <v>0</v>
      </c>
      <c r="M29" s="130" t="n">
        <v>0</v>
      </c>
      <c r="N29" s="130" t="n">
        <v>0</v>
      </c>
      <c r="O29" s="130" t="n">
        <v>0</v>
      </c>
      <c r="P29" s="130" t="n">
        <v>0</v>
      </c>
      <c r="Q29" s="130" t="n">
        <v>0</v>
      </c>
      <c r="R29" s="129" t="n">
        <v>1</v>
      </c>
      <c r="S29" s="130" t="n">
        <v>0</v>
      </c>
      <c r="T29" s="130" t="n">
        <v>0</v>
      </c>
      <c r="U29" s="130" t="n">
        <v>0</v>
      </c>
      <c r="V29" s="130" t="n">
        <v>0</v>
      </c>
      <c r="W29" s="130" t="n">
        <v>0</v>
      </c>
      <c r="X29" s="130" t="n">
        <v>0</v>
      </c>
      <c r="Y29" s="130" t="n">
        <v>0</v>
      </c>
      <c r="Z29" s="130" t="n">
        <v>0</v>
      </c>
      <c r="AA29" s="130" t="n">
        <v>0</v>
      </c>
      <c r="AB29" s="130" t="n">
        <v>0</v>
      </c>
      <c r="AC29" s="130" t="n">
        <v>0</v>
      </c>
      <c r="AD29" s="130" t="n">
        <v>0</v>
      </c>
      <c r="AE29" s="130" t="n">
        <v>0</v>
      </c>
      <c r="AF29" s="130" t="n">
        <v>0</v>
      </c>
      <c r="AG29" s="130" t="n">
        <v>0</v>
      </c>
      <c r="AH29" s="130" t="n">
        <v>0</v>
      </c>
      <c r="AI29" s="130" t="n">
        <v>0</v>
      </c>
      <c r="AJ29" s="130" t="n">
        <v>0</v>
      </c>
      <c r="AK29" s="129" t="n">
        <v>1</v>
      </c>
      <c r="AL29" s="130" t="n">
        <v>0</v>
      </c>
      <c r="AM29" s="130" t="n">
        <v>0</v>
      </c>
      <c r="AN29" s="130" t="n">
        <v>0</v>
      </c>
      <c r="AO29" s="130" t="n">
        <v>0</v>
      </c>
      <c r="AP29" s="130" t="n">
        <v>0</v>
      </c>
      <c r="AQ29" s="130" t="n">
        <v>0</v>
      </c>
      <c r="AS29" s="131" t="n">
        <f aca="false">IF(SUM(03_Colocation_Calc!$T$29:$AC$29)&gt;0,1,0)</f>
        <v>1</v>
      </c>
    </row>
    <row r="30" customFormat="false" ht="15.75" hidden="false" customHeight="true" outlineLevel="0" collapsed="false">
      <c r="A30" s="128" t="s">
        <v>344</v>
      </c>
      <c r="B30" s="128" t="s">
        <v>345</v>
      </c>
      <c r="C30" s="130" t="n">
        <v>0</v>
      </c>
      <c r="D30" s="130" t="n">
        <v>0</v>
      </c>
      <c r="E30" s="130" t="n">
        <v>0</v>
      </c>
      <c r="F30" s="130" t="n">
        <v>0</v>
      </c>
      <c r="G30" s="130" t="n">
        <v>0</v>
      </c>
      <c r="H30" s="130" t="n">
        <v>0</v>
      </c>
      <c r="I30" s="130" t="n">
        <v>0</v>
      </c>
      <c r="J30" s="130" t="n">
        <v>0</v>
      </c>
      <c r="K30" s="130" t="n">
        <v>0</v>
      </c>
      <c r="L30" s="130" t="n">
        <v>0</v>
      </c>
      <c r="M30" s="130" t="n">
        <v>0</v>
      </c>
      <c r="N30" s="130" t="n">
        <v>0</v>
      </c>
      <c r="O30" s="130" t="n">
        <v>0</v>
      </c>
      <c r="P30" s="130" t="n">
        <v>0</v>
      </c>
      <c r="Q30" s="130" t="n">
        <v>0</v>
      </c>
      <c r="R30" s="130" t="n">
        <v>0</v>
      </c>
      <c r="S30" s="130" t="n">
        <v>0</v>
      </c>
      <c r="T30" s="130" t="n">
        <v>0</v>
      </c>
      <c r="U30" s="130" t="n">
        <v>0</v>
      </c>
      <c r="V30" s="130" t="n">
        <v>0</v>
      </c>
      <c r="W30" s="130" t="n">
        <v>0</v>
      </c>
      <c r="X30" s="130" t="n">
        <v>0</v>
      </c>
      <c r="Y30" s="130" t="n">
        <v>0</v>
      </c>
      <c r="Z30" s="130" t="n">
        <v>0</v>
      </c>
      <c r="AA30" s="130" t="n">
        <v>0</v>
      </c>
      <c r="AB30" s="130" t="n">
        <v>0</v>
      </c>
      <c r="AC30" s="130" t="n">
        <v>0</v>
      </c>
      <c r="AD30" s="130" t="n">
        <v>0</v>
      </c>
      <c r="AE30" s="130" t="n">
        <v>0</v>
      </c>
      <c r="AF30" s="130" t="n">
        <v>0</v>
      </c>
      <c r="AG30" s="130" t="n">
        <v>0</v>
      </c>
      <c r="AH30" s="130" t="n">
        <v>0</v>
      </c>
      <c r="AI30" s="130" t="n">
        <v>0</v>
      </c>
      <c r="AJ30" s="129" t="n">
        <v>1</v>
      </c>
      <c r="AK30" s="130" t="n">
        <v>0</v>
      </c>
      <c r="AL30" s="130" t="n">
        <v>0</v>
      </c>
      <c r="AM30" s="130" t="n">
        <v>0</v>
      </c>
      <c r="AN30" s="130" t="n">
        <v>0</v>
      </c>
      <c r="AO30" s="129" t="n">
        <v>1</v>
      </c>
      <c r="AP30" s="130" t="n">
        <v>0</v>
      </c>
      <c r="AQ30" s="130" t="n">
        <v>0</v>
      </c>
      <c r="AS30" s="131" t="n">
        <f aca="false">IF(SUM(03_Colocation_Calc!$T$30:$AC$30)&gt;0,1,0)</f>
        <v>1</v>
      </c>
    </row>
    <row r="31" customFormat="false" ht="15.75" hidden="false" customHeight="true" outlineLevel="0" collapsed="false">
      <c r="A31" s="128" t="s">
        <v>353</v>
      </c>
      <c r="B31" s="128" t="s">
        <v>354</v>
      </c>
      <c r="C31" s="130" t="n">
        <v>0</v>
      </c>
      <c r="D31" s="130" t="n">
        <v>0</v>
      </c>
      <c r="E31" s="130" t="n">
        <v>0</v>
      </c>
      <c r="F31" s="130" t="n">
        <v>0</v>
      </c>
      <c r="G31" s="130" t="n">
        <v>0</v>
      </c>
      <c r="H31" s="130" t="n">
        <v>0</v>
      </c>
      <c r="I31" s="130" t="n">
        <v>0</v>
      </c>
      <c r="J31" s="130" t="n">
        <v>0</v>
      </c>
      <c r="K31" s="130" t="n">
        <v>0</v>
      </c>
      <c r="L31" s="130" t="n">
        <v>0</v>
      </c>
      <c r="M31" s="130" t="n">
        <v>0</v>
      </c>
      <c r="N31" s="129" t="n">
        <v>1</v>
      </c>
      <c r="O31" s="130" t="n">
        <v>0</v>
      </c>
      <c r="P31" s="129" t="n">
        <v>1</v>
      </c>
      <c r="Q31" s="130" t="n">
        <v>0</v>
      </c>
      <c r="R31" s="130" t="n">
        <v>0</v>
      </c>
      <c r="S31" s="130" t="n">
        <v>0</v>
      </c>
      <c r="T31" s="130" t="n">
        <v>0</v>
      </c>
      <c r="U31" s="130" t="n">
        <v>0</v>
      </c>
      <c r="V31" s="129" t="n">
        <v>1</v>
      </c>
      <c r="W31" s="129" t="n">
        <v>1</v>
      </c>
      <c r="X31" s="130" t="n">
        <v>0</v>
      </c>
      <c r="Y31" s="129" t="n">
        <v>1</v>
      </c>
      <c r="Z31" s="130" t="n">
        <v>0</v>
      </c>
      <c r="AA31" s="130" t="n">
        <v>0</v>
      </c>
      <c r="AB31" s="130" t="n">
        <v>0</v>
      </c>
      <c r="AC31" s="130" t="n">
        <v>0</v>
      </c>
      <c r="AD31" s="130" t="n">
        <v>0</v>
      </c>
      <c r="AE31" s="130" t="n">
        <v>0</v>
      </c>
      <c r="AF31" s="130" t="n">
        <v>0</v>
      </c>
      <c r="AG31" s="130" t="n">
        <v>0</v>
      </c>
      <c r="AH31" s="130" t="n">
        <v>0</v>
      </c>
      <c r="AI31" s="130" t="n">
        <v>0</v>
      </c>
      <c r="AJ31" s="130" t="n">
        <v>0</v>
      </c>
      <c r="AK31" s="130" t="n">
        <v>0</v>
      </c>
      <c r="AL31" s="130" t="n">
        <v>0</v>
      </c>
      <c r="AM31" s="130" t="n">
        <v>0</v>
      </c>
      <c r="AN31" s="130" t="n">
        <v>0</v>
      </c>
      <c r="AO31" s="130" t="n">
        <v>0</v>
      </c>
      <c r="AP31" s="130" t="n">
        <v>0</v>
      </c>
      <c r="AQ31" s="130" t="n">
        <v>0</v>
      </c>
      <c r="AS31" s="131" t="n">
        <f aca="false">IF(SUM(03_Colocation_Calc!$T$31:$AC$31)&gt;0,1,0)</f>
        <v>1</v>
      </c>
    </row>
    <row r="32" customFormat="false" ht="15.75" hidden="false" customHeight="true" outlineLevel="0" collapsed="false">
      <c r="A32" s="128" t="s">
        <v>362</v>
      </c>
      <c r="B32" s="128" t="s">
        <v>363</v>
      </c>
      <c r="C32" s="130" t="n">
        <v>0</v>
      </c>
      <c r="D32" s="130" t="n">
        <v>0</v>
      </c>
      <c r="E32" s="130" t="n">
        <v>0</v>
      </c>
      <c r="F32" s="130" t="n">
        <v>0</v>
      </c>
      <c r="G32" s="130" t="n">
        <v>0</v>
      </c>
      <c r="H32" s="130" t="n">
        <v>0</v>
      </c>
      <c r="I32" s="130" t="n">
        <v>0</v>
      </c>
      <c r="J32" s="130" t="n">
        <v>0</v>
      </c>
      <c r="K32" s="130" t="n">
        <v>0</v>
      </c>
      <c r="L32" s="130" t="n">
        <v>0</v>
      </c>
      <c r="M32" s="130" t="n">
        <v>0</v>
      </c>
      <c r="N32" s="130" t="n">
        <v>0</v>
      </c>
      <c r="O32" s="130" t="n">
        <v>0</v>
      </c>
      <c r="P32" s="130" t="n">
        <v>0</v>
      </c>
      <c r="Q32" s="130" t="n">
        <v>0</v>
      </c>
      <c r="R32" s="130" t="n">
        <v>0</v>
      </c>
      <c r="S32" s="130" t="n">
        <v>0</v>
      </c>
      <c r="T32" s="130" t="n">
        <v>0</v>
      </c>
      <c r="U32" s="130" t="n">
        <v>0</v>
      </c>
      <c r="V32" s="129" t="n">
        <v>1</v>
      </c>
      <c r="W32" s="130" t="n">
        <v>0</v>
      </c>
      <c r="X32" s="130" t="n">
        <v>0</v>
      </c>
      <c r="Y32" s="129" t="n">
        <v>1</v>
      </c>
      <c r="Z32" s="130" t="n">
        <v>0</v>
      </c>
      <c r="AA32" s="130" t="n">
        <v>0</v>
      </c>
      <c r="AB32" s="130" t="n">
        <v>0</v>
      </c>
      <c r="AC32" s="130" t="n">
        <v>0</v>
      </c>
      <c r="AD32" s="130" t="n">
        <v>0</v>
      </c>
      <c r="AE32" s="130" t="n">
        <v>0</v>
      </c>
      <c r="AF32" s="130" t="n">
        <v>0</v>
      </c>
      <c r="AG32" s="130" t="n">
        <v>0</v>
      </c>
      <c r="AH32" s="130" t="n">
        <v>0</v>
      </c>
      <c r="AI32" s="130" t="n">
        <v>0</v>
      </c>
      <c r="AJ32" s="130" t="n">
        <v>0</v>
      </c>
      <c r="AK32" s="130" t="n">
        <v>0</v>
      </c>
      <c r="AL32" s="130" t="n">
        <v>0</v>
      </c>
      <c r="AM32" s="129" t="n">
        <v>1</v>
      </c>
      <c r="AN32" s="130" t="n">
        <v>0</v>
      </c>
      <c r="AO32" s="130" t="n">
        <v>0</v>
      </c>
      <c r="AP32" s="130" t="n">
        <v>0</v>
      </c>
      <c r="AQ32" s="130" t="n">
        <v>0</v>
      </c>
      <c r="AS32" s="131" t="n">
        <f aca="false">IF(SUM(03_Colocation_Calc!$T$32:$AC$32)&gt;0,1,0)</f>
        <v>1</v>
      </c>
    </row>
    <row r="33" customFormat="false" ht="15.75" hidden="false" customHeight="true" outlineLevel="0" collapsed="false">
      <c r="A33" s="128" t="s">
        <v>373</v>
      </c>
      <c r="B33" s="128" t="s">
        <v>374</v>
      </c>
      <c r="C33" s="130" t="n">
        <v>0</v>
      </c>
      <c r="D33" s="130" t="n">
        <v>0</v>
      </c>
      <c r="E33" s="130" t="n">
        <v>0</v>
      </c>
      <c r="F33" s="130" t="n">
        <v>0</v>
      </c>
      <c r="G33" s="130" t="n">
        <v>0</v>
      </c>
      <c r="H33" s="130" t="n">
        <v>0</v>
      </c>
      <c r="I33" s="130" t="n">
        <v>0</v>
      </c>
      <c r="J33" s="130" t="n">
        <v>0</v>
      </c>
      <c r="K33" s="130" t="n">
        <v>0</v>
      </c>
      <c r="L33" s="130" t="n">
        <v>0</v>
      </c>
      <c r="M33" s="130" t="n">
        <v>0</v>
      </c>
      <c r="N33" s="130" t="n">
        <v>0</v>
      </c>
      <c r="O33" s="130" t="n">
        <v>0</v>
      </c>
      <c r="P33" s="130" t="n">
        <v>0</v>
      </c>
      <c r="Q33" s="130" t="n">
        <v>0</v>
      </c>
      <c r="R33" s="130" t="n">
        <v>0</v>
      </c>
      <c r="S33" s="130" t="n">
        <v>0</v>
      </c>
      <c r="T33" s="130" t="n">
        <v>0</v>
      </c>
      <c r="U33" s="130" t="n">
        <v>0</v>
      </c>
      <c r="V33" s="130" t="n">
        <v>0</v>
      </c>
      <c r="W33" s="130" t="n">
        <v>0</v>
      </c>
      <c r="X33" s="130" t="n">
        <v>0</v>
      </c>
      <c r="Y33" s="129" t="n">
        <v>1</v>
      </c>
      <c r="Z33" s="129" t="n">
        <v>1</v>
      </c>
      <c r="AA33" s="129" t="n">
        <v>1</v>
      </c>
      <c r="AB33" s="130" t="n">
        <v>0</v>
      </c>
      <c r="AC33" s="130" t="n">
        <v>0</v>
      </c>
      <c r="AD33" s="130" t="n">
        <v>0</v>
      </c>
      <c r="AE33" s="130" t="n">
        <v>0</v>
      </c>
      <c r="AF33" s="130" t="n">
        <v>0</v>
      </c>
      <c r="AG33" s="130" t="n">
        <v>0</v>
      </c>
      <c r="AH33" s="130" t="n">
        <v>0</v>
      </c>
      <c r="AI33" s="130" t="n">
        <v>0</v>
      </c>
      <c r="AJ33" s="130" t="n">
        <v>0</v>
      </c>
      <c r="AK33" s="130" t="n">
        <v>0</v>
      </c>
      <c r="AL33" s="130" t="n">
        <v>0</v>
      </c>
      <c r="AM33" s="130" t="n">
        <v>0</v>
      </c>
      <c r="AN33" s="130" t="n">
        <v>0</v>
      </c>
      <c r="AO33" s="130" t="n">
        <v>0</v>
      </c>
      <c r="AP33" s="130" t="n">
        <v>0</v>
      </c>
      <c r="AQ33" s="130" t="n">
        <v>0</v>
      </c>
      <c r="AS33" s="131" t="n">
        <f aca="false">IF(SUM(03_Colocation_Calc!$T$33:$AC$33)&gt;0,1,0)</f>
        <v>1</v>
      </c>
    </row>
    <row r="34" customFormat="false" ht="15.75" hidden="false" customHeight="true" outlineLevel="0" collapsed="false">
      <c r="A34" s="128" t="s">
        <v>384</v>
      </c>
      <c r="B34" s="128" t="s">
        <v>385</v>
      </c>
      <c r="C34" s="130" t="n">
        <v>0</v>
      </c>
      <c r="D34" s="130" t="n">
        <v>0</v>
      </c>
      <c r="E34" s="130" t="n">
        <v>0</v>
      </c>
      <c r="F34" s="130" t="n">
        <v>0</v>
      </c>
      <c r="G34" s="130" t="n">
        <v>0</v>
      </c>
      <c r="H34" s="130" t="n">
        <v>0</v>
      </c>
      <c r="I34" s="130" t="n">
        <v>0</v>
      </c>
      <c r="J34" s="130" t="n">
        <v>0</v>
      </c>
      <c r="K34" s="130" t="n">
        <v>0</v>
      </c>
      <c r="L34" s="130" t="n">
        <v>0</v>
      </c>
      <c r="M34" s="130" t="n">
        <v>0</v>
      </c>
      <c r="N34" s="130" t="n">
        <v>0</v>
      </c>
      <c r="O34" s="130" t="n">
        <v>0</v>
      </c>
      <c r="P34" s="130" t="n">
        <v>0</v>
      </c>
      <c r="Q34" s="130" t="n">
        <v>0</v>
      </c>
      <c r="R34" s="130" t="n">
        <v>0</v>
      </c>
      <c r="S34" s="130" t="n">
        <v>0</v>
      </c>
      <c r="T34" s="130" t="n">
        <v>0</v>
      </c>
      <c r="U34" s="130" t="n">
        <v>0</v>
      </c>
      <c r="V34" s="130" t="n">
        <v>0</v>
      </c>
      <c r="W34" s="130" t="n">
        <v>0</v>
      </c>
      <c r="X34" s="130" t="n">
        <v>0</v>
      </c>
      <c r="Y34" s="130" t="n">
        <v>0</v>
      </c>
      <c r="Z34" s="129" t="n">
        <v>1</v>
      </c>
      <c r="AA34" s="130" t="n">
        <v>0</v>
      </c>
      <c r="AB34" s="130" t="n">
        <v>0</v>
      </c>
      <c r="AC34" s="130" t="n">
        <v>0</v>
      </c>
      <c r="AD34" s="130" t="n">
        <v>0</v>
      </c>
      <c r="AE34" s="130" t="n">
        <v>0</v>
      </c>
      <c r="AF34" s="130" t="n">
        <v>0</v>
      </c>
      <c r="AG34" s="130" t="n">
        <v>0</v>
      </c>
      <c r="AH34" s="130" t="n">
        <v>0</v>
      </c>
      <c r="AI34" s="130" t="n">
        <v>0</v>
      </c>
      <c r="AJ34" s="130" t="n">
        <v>0</v>
      </c>
      <c r="AK34" s="130" t="n">
        <v>0</v>
      </c>
      <c r="AL34" s="130" t="n">
        <v>0</v>
      </c>
      <c r="AM34" s="130" t="n">
        <v>0</v>
      </c>
      <c r="AN34" s="130" t="n">
        <v>0</v>
      </c>
      <c r="AO34" s="130" t="n">
        <v>0</v>
      </c>
      <c r="AP34" s="130" t="n">
        <v>0</v>
      </c>
      <c r="AQ34" s="130" t="n">
        <v>0</v>
      </c>
      <c r="AS34" s="131" t="n">
        <f aca="false">IF(SUM(03_Colocation_Calc!$T$34:$AC$34)&gt;0,1,0)</f>
        <v>1</v>
      </c>
    </row>
    <row r="35" customFormat="false" ht="15.75" hidden="false" customHeight="true" outlineLevel="0" collapsed="false">
      <c r="A35" s="128" t="s">
        <v>392</v>
      </c>
      <c r="B35" s="128" t="s">
        <v>393</v>
      </c>
      <c r="C35" s="130" t="n">
        <v>0</v>
      </c>
      <c r="D35" s="130" t="n">
        <v>0</v>
      </c>
      <c r="E35" s="130" t="n">
        <v>0</v>
      </c>
      <c r="F35" s="130" t="n">
        <v>0</v>
      </c>
      <c r="G35" s="130" t="n">
        <v>0</v>
      </c>
      <c r="H35" s="130" t="n">
        <v>0</v>
      </c>
      <c r="I35" s="130" t="n">
        <v>0</v>
      </c>
      <c r="J35" s="130" t="n">
        <v>0</v>
      </c>
      <c r="K35" s="130" t="n">
        <v>0</v>
      </c>
      <c r="L35" s="130" t="n">
        <v>0</v>
      </c>
      <c r="M35" s="130" t="n">
        <v>0</v>
      </c>
      <c r="N35" s="130" t="n">
        <v>0</v>
      </c>
      <c r="O35" s="130" t="n">
        <v>0</v>
      </c>
      <c r="P35" s="130" t="n">
        <v>0</v>
      </c>
      <c r="Q35" s="130" t="n">
        <v>0</v>
      </c>
      <c r="R35" s="130" t="n">
        <v>0</v>
      </c>
      <c r="S35" s="130" t="n">
        <v>0</v>
      </c>
      <c r="T35" s="130" t="n">
        <v>0</v>
      </c>
      <c r="U35" s="130" t="n">
        <v>0</v>
      </c>
      <c r="V35" s="130" t="n">
        <v>0</v>
      </c>
      <c r="W35" s="130" t="n">
        <v>0</v>
      </c>
      <c r="X35" s="130" t="n">
        <v>0</v>
      </c>
      <c r="Y35" s="129" t="n">
        <v>1</v>
      </c>
      <c r="Z35" s="129" t="n">
        <v>1</v>
      </c>
      <c r="AA35" s="129" t="n">
        <v>1</v>
      </c>
      <c r="AB35" s="130" t="n">
        <v>0</v>
      </c>
      <c r="AC35" s="130" t="n">
        <v>0</v>
      </c>
      <c r="AD35" s="130" t="n">
        <v>0</v>
      </c>
      <c r="AE35" s="130" t="n">
        <v>0</v>
      </c>
      <c r="AF35" s="130" t="n">
        <v>0</v>
      </c>
      <c r="AG35" s="130" t="n">
        <v>0</v>
      </c>
      <c r="AH35" s="130" t="n">
        <v>0</v>
      </c>
      <c r="AI35" s="130" t="n">
        <v>0</v>
      </c>
      <c r="AJ35" s="130" t="n">
        <v>0</v>
      </c>
      <c r="AK35" s="130" t="n">
        <v>0</v>
      </c>
      <c r="AL35" s="130" t="n">
        <v>0</v>
      </c>
      <c r="AM35" s="130" t="n">
        <v>0</v>
      </c>
      <c r="AN35" s="130" t="n">
        <v>0</v>
      </c>
      <c r="AO35" s="130" t="n">
        <v>0</v>
      </c>
      <c r="AP35" s="130" t="n">
        <v>0</v>
      </c>
      <c r="AQ35" s="130" t="n">
        <v>0</v>
      </c>
      <c r="AS35" s="131" t="n">
        <f aca="false">IF(SUM(03_Colocation_Calc!$T$35:$AC$35)&gt;0,1,0)</f>
        <v>1</v>
      </c>
    </row>
    <row r="36" customFormat="false" ht="15.75" hidden="false" customHeight="true" outlineLevel="0" collapsed="false">
      <c r="A36" s="128" t="s">
        <v>398</v>
      </c>
      <c r="B36" s="128" t="s">
        <v>399</v>
      </c>
      <c r="C36" s="130" t="n">
        <v>0</v>
      </c>
      <c r="D36" s="130" t="n">
        <v>0</v>
      </c>
      <c r="E36" s="130" t="n">
        <v>0</v>
      </c>
      <c r="F36" s="130" t="n">
        <v>0</v>
      </c>
      <c r="G36" s="130" t="n">
        <v>0</v>
      </c>
      <c r="H36" s="130" t="n">
        <v>0</v>
      </c>
      <c r="I36" s="130" t="n">
        <v>0</v>
      </c>
      <c r="J36" s="130" t="n">
        <v>0</v>
      </c>
      <c r="K36" s="130" t="n">
        <v>0</v>
      </c>
      <c r="L36" s="130" t="n">
        <v>0</v>
      </c>
      <c r="M36" s="130" t="n">
        <v>0</v>
      </c>
      <c r="N36" s="130" t="n">
        <v>0</v>
      </c>
      <c r="O36" s="130" t="n">
        <v>0</v>
      </c>
      <c r="P36" s="130" t="n">
        <v>0</v>
      </c>
      <c r="Q36" s="130" t="n">
        <v>0</v>
      </c>
      <c r="R36" s="130" t="n">
        <v>0</v>
      </c>
      <c r="S36" s="130" t="n">
        <v>0</v>
      </c>
      <c r="T36" s="130" t="n">
        <v>0</v>
      </c>
      <c r="U36" s="130" t="n">
        <v>0</v>
      </c>
      <c r="V36" s="130" t="n">
        <v>0</v>
      </c>
      <c r="W36" s="130" t="n">
        <v>0</v>
      </c>
      <c r="X36" s="130" t="n">
        <v>0</v>
      </c>
      <c r="Y36" s="130" t="n">
        <v>0</v>
      </c>
      <c r="Z36" s="129" t="n">
        <v>1</v>
      </c>
      <c r="AA36" s="130" t="n">
        <v>0</v>
      </c>
      <c r="AB36" s="130" t="n">
        <v>0</v>
      </c>
      <c r="AC36" s="130" t="n">
        <v>0</v>
      </c>
      <c r="AD36" s="130" t="n">
        <v>0</v>
      </c>
      <c r="AE36" s="130" t="n">
        <v>0</v>
      </c>
      <c r="AF36" s="130" t="n">
        <v>0</v>
      </c>
      <c r="AG36" s="130" t="n">
        <v>0</v>
      </c>
      <c r="AH36" s="130" t="n">
        <v>0</v>
      </c>
      <c r="AI36" s="130" t="n">
        <v>0</v>
      </c>
      <c r="AJ36" s="130" t="n">
        <v>0</v>
      </c>
      <c r="AK36" s="130" t="n">
        <v>0</v>
      </c>
      <c r="AL36" s="130" t="n">
        <v>0</v>
      </c>
      <c r="AM36" s="130" t="n">
        <v>0</v>
      </c>
      <c r="AN36" s="130" t="n">
        <v>0</v>
      </c>
      <c r="AO36" s="130" t="n">
        <v>0</v>
      </c>
      <c r="AP36" s="130" t="n">
        <v>0</v>
      </c>
      <c r="AQ36" s="130" t="n">
        <v>0</v>
      </c>
      <c r="AS36" s="131" t="n">
        <f aca="false">IF(SUM(03_Colocation_Calc!$T$36:$AC$36)&gt;0,1,0)</f>
        <v>1</v>
      </c>
    </row>
    <row r="37" customFormat="false" ht="15.75" hidden="false" customHeight="true" outlineLevel="0" collapsed="false">
      <c r="A37" s="128" t="s">
        <v>404</v>
      </c>
      <c r="B37" s="128" t="s">
        <v>405</v>
      </c>
      <c r="C37" s="130" t="n">
        <v>0</v>
      </c>
      <c r="D37" s="130" t="n">
        <v>0</v>
      </c>
      <c r="E37" s="130" t="n">
        <v>0</v>
      </c>
      <c r="F37" s="130" t="n">
        <v>0</v>
      </c>
      <c r="G37" s="130" t="n">
        <v>0</v>
      </c>
      <c r="H37" s="130" t="n">
        <v>0</v>
      </c>
      <c r="I37" s="130" t="n">
        <v>0</v>
      </c>
      <c r="J37" s="130" t="n">
        <v>0</v>
      </c>
      <c r="K37" s="130" t="n">
        <v>0</v>
      </c>
      <c r="L37" s="130" t="n">
        <v>0</v>
      </c>
      <c r="M37" s="130" t="n">
        <v>0</v>
      </c>
      <c r="N37" s="130" t="n">
        <v>0</v>
      </c>
      <c r="O37" s="130" t="n">
        <v>0</v>
      </c>
      <c r="P37" s="130" t="n">
        <v>0</v>
      </c>
      <c r="Q37" s="130" t="n">
        <v>0</v>
      </c>
      <c r="R37" s="130" t="n">
        <v>0</v>
      </c>
      <c r="S37" s="130" t="n">
        <v>0</v>
      </c>
      <c r="T37" s="130" t="n">
        <v>0</v>
      </c>
      <c r="U37" s="130" t="n">
        <v>0</v>
      </c>
      <c r="V37" s="130" t="n">
        <v>0</v>
      </c>
      <c r="W37" s="130" t="n">
        <v>0</v>
      </c>
      <c r="X37" s="130" t="n">
        <v>0</v>
      </c>
      <c r="Y37" s="129" t="n">
        <v>1</v>
      </c>
      <c r="Z37" s="129" t="n">
        <v>1</v>
      </c>
      <c r="AA37" s="129" t="n">
        <v>1</v>
      </c>
      <c r="AB37" s="130" t="n">
        <v>0</v>
      </c>
      <c r="AC37" s="130" t="n">
        <v>0</v>
      </c>
      <c r="AD37" s="130" t="n">
        <v>0</v>
      </c>
      <c r="AE37" s="129" t="n">
        <v>1</v>
      </c>
      <c r="AF37" s="130" t="n">
        <v>0</v>
      </c>
      <c r="AG37" s="130" t="n">
        <v>0</v>
      </c>
      <c r="AH37" s="129" t="n">
        <v>1</v>
      </c>
      <c r="AI37" s="130" t="n">
        <v>0</v>
      </c>
      <c r="AJ37" s="130" t="n">
        <v>0</v>
      </c>
      <c r="AK37" s="130" t="n">
        <v>0</v>
      </c>
      <c r="AL37" s="130" t="n">
        <v>0</v>
      </c>
      <c r="AM37" s="130" t="n">
        <v>0</v>
      </c>
      <c r="AN37" s="130" t="n">
        <v>0</v>
      </c>
      <c r="AO37" s="130" t="n">
        <v>0</v>
      </c>
      <c r="AP37" s="130" t="n">
        <v>0</v>
      </c>
      <c r="AQ37" s="130" t="n">
        <v>0</v>
      </c>
      <c r="AS37" s="131" t="n">
        <f aca="false">IF(SUM(03_Colocation_Calc!$T$37:$AC$37)&gt;0,1,0)</f>
        <v>0</v>
      </c>
    </row>
    <row r="38" customFormat="false" ht="15.75" hidden="false" customHeight="true" outlineLevel="0" collapsed="false">
      <c r="A38" s="128" t="s">
        <v>412</v>
      </c>
      <c r="B38" s="128" t="s">
        <v>413</v>
      </c>
      <c r="C38" s="130" t="n">
        <v>0</v>
      </c>
      <c r="D38" s="130" t="n">
        <v>0</v>
      </c>
      <c r="E38" s="130" t="n">
        <v>0</v>
      </c>
      <c r="F38" s="130" t="n">
        <v>0</v>
      </c>
      <c r="G38" s="130" t="n">
        <v>0</v>
      </c>
      <c r="H38" s="130" t="n">
        <v>0</v>
      </c>
      <c r="I38" s="130" t="n">
        <v>0</v>
      </c>
      <c r="J38" s="130" t="n">
        <v>0</v>
      </c>
      <c r="K38" s="130" t="n">
        <v>0</v>
      </c>
      <c r="L38" s="130" t="n">
        <v>0</v>
      </c>
      <c r="M38" s="130" t="n">
        <v>0</v>
      </c>
      <c r="N38" s="130" t="n">
        <v>0</v>
      </c>
      <c r="O38" s="130" t="n">
        <v>0</v>
      </c>
      <c r="P38" s="130" t="n">
        <v>0</v>
      </c>
      <c r="Q38" s="130" t="n">
        <v>0</v>
      </c>
      <c r="R38" s="130" t="n">
        <v>0</v>
      </c>
      <c r="S38" s="130" t="n">
        <v>0</v>
      </c>
      <c r="T38" s="130" t="n">
        <v>0</v>
      </c>
      <c r="U38" s="130" t="n">
        <v>0</v>
      </c>
      <c r="V38" s="130" t="n">
        <v>0</v>
      </c>
      <c r="W38" s="130" t="n">
        <v>0</v>
      </c>
      <c r="X38" s="130" t="n">
        <v>0</v>
      </c>
      <c r="Y38" s="129" t="n">
        <v>1</v>
      </c>
      <c r="Z38" s="130" t="n">
        <v>0</v>
      </c>
      <c r="AA38" s="130" t="n">
        <v>0</v>
      </c>
      <c r="AB38" s="130" t="n">
        <v>0</v>
      </c>
      <c r="AC38" s="130" t="n">
        <v>0</v>
      </c>
      <c r="AD38" s="130" t="n">
        <v>0</v>
      </c>
      <c r="AE38" s="130" t="n">
        <v>0</v>
      </c>
      <c r="AF38" s="130" t="n">
        <v>0</v>
      </c>
      <c r="AG38" s="129" t="n">
        <v>1</v>
      </c>
      <c r="AH38" s="130" t="n">
        <v>0</v>
      </c>
      <c r="AI38" s="130" t="n">
        <v>0</v>
      </c>
      <c r="AJ38" s="130" t="n">
        <v>0</v>
      </c>
      <c r="AK38" s="130" t="n">
        <v>0</v>
      </c>
      <c r="AL38" s="130" t="n">
        <v>0</v>
      </c>
      <c r="AM38" s="130" t="n">
        <v>0</v>
      </c>
      <c r="AN38" s="129" t="n">
        <v>1</v>
      </c>
      <c r="AO38" s="130" t="n">
        <v>0</v>
      </c>
      <c r="AP38" s="130" t="n">
        <v>0</v>
      </c>
      <c r="AQ38" s="130" t="n">
        <v>0</v>
      </c>
      <c r="AS38" s="131" t="n">
        <f aca="false">IF(SUM(03_Colocation_Calc!$T$38:$AC$38)&gt;0,1,0)</f>
        <v>1</v>
      </c>
    </row>
    <row r="39" customFormat="false" ht="15.75" hidden="false" customHeight="true" outlineLevel="0" collapsed="false">
      <c r="A39" s="128" t="s">
        <v>422</v>
      </c>
      <c r="B39" s="128" t="s">
        <v>423</v>
      </c>
      <c r="C39" s="130" t="n">
        <v>0</v>
      </c>
      <c r="D39" s="130" t="n">
        <v>0</v>
      </c>
      <c r="E39" s="130" t="n">
        <v>0</v>
      </c>
      <c r="F39" s="130" t="n">
        <v>0</v>
      </c>
      <c r="G39" s="130" t="n">
        <v>0</v>
      </c>
      <c r="H39" s="130" t="n">
        <v>0</v>
      </c>
      <c r="I39" s="130" t="n">
        <v>0</v>
      </c>
      <c r="J39" s="130" t="n">
        <v>0</v>
      </c>
      <c r="K39" s="130" t="n">
        <v>0</v>
      </c>
      <c r="L39" s="130" t="n">
        <v>0</v>
      </c>
      <c r="M39" s="130" t="n">
        <v>0</v>
      </c>
      <c r="N39" s="130" t="n">
        <v>0</v>
      </c>
      <c r="O39" s="130" t="n">
        <v>0</v>
      </c>
      <c r="P39" s="130" t="n">
        <v>0</v>
      </c>
      <c r="Q39" s="130" t="n">
        <v>0</v>
      </c>
      <c r="R39" s="130" t="n">
        <v>0</v>
      </c>
      <c r="S39" s="130" t="n">
        <v>0</v>
      </c>
      <c r="T39" s="130" t="n">
        <v>0</v>
      </c>
      <c r="U39" s="130" t="n">
        <v>0</v>
      </c>
      <c r="V39" s="130" t="n">
        <v>0</v>
      </c>
      <c r="W39" s="130" t="n">
        <v>0</v>
      </c>
      <c r="X39" s="130" t="n">
        <v>0</v>
      </c>
      <c r="Y39" s="130" t="n">
        <v>0</v>
      </c>
      <c r="Z39" s="130" t="n">
        <v>0</v>
      </c>
      <c r="AA39" s="130" t="n">
        <v>0</v>
      </c>
      <c r="AB39" s="130" t="n">
        <v>0</v>
      </c>
      <c r="AC39" s="129" t="n">
        <v>1</v>
      </c>
      <c r="AD39" s="129" t="n">
        <v>1</v>
      </c>
      <c r="AE39" s="130" t="n">
        <v>0</v>
      </c>
      <c r="AF39" s="130" t="n">
        <v>0</v>
      </c>
      <c r="AG39" s="130" t="n">
        <v>0</v>
      </c>
      <c r="AH39" s="130" t="n">
        <v>0</v>
      </c>
      <c r="AI39" s="130" t="n">
        <v>0</v>
      </c>
      <c r="AJ39" s="130" t="n">
        <v>0</v>
      </c>
      <c r="AK39" s="130" t="n">
        <v>0</v>
      </c>
      <c r="AL39" s="130" t="n">
        <v>0</v>
      </c>
      <c r="AM39" s="130" t="n">
        <v>0</v>
      </c>
      <c r="AN39" s="129" t="n">
        <v>1</v>
      </c>
      <c r="AO39" s="130" t="n">
        <v>0</v>
      </c>
      <c r="AP39" s="130" t="n">
        <v>0</v>
      </c>
      <c r="AQ39" s="130" t="n">
        <v>0</v>
      </c>
      <c r="AS39" s="131" t="n">
        <f aca="false">IF(SUM(03_Colocation_Calc!$T$39:$AC$39)&gt;0,1,0)</f>
        <v>1</v>
      </c>
    </row>
    <row r="40" customFormat="false" ht="15.75" hidden="false" customHeight="true" outlineLevel="0" collapsed="false">
      <c r="A40" s="128" t="s">
        <v>431</v>
      </c>
      <c r="B40" s="128" t="s">
        <v>432</v>
      </c>
      <c r="C40" s="130" t="n">
        <v>0</v>
      </c>
      <c r="D40" s="130" t="n">
        <v>0</v>
      </c>
      <c r="E40" s="130" t="n">
        <v>0</v>
      </c>
      <c r="F40" s="130" t="n">
        <v>0</v>
      </c>
      <c r="G40" s="130" t="n">
        <v>0</v>
      </c>
      <c r="H40" s="130" t="n">
        <v>0</v>
      </c>
      <c r="I40" s="130" t="n">
        <v>0</v>
      </c>
      <c r="J40" s="130" t="n">
        <v>0</v>
      </c>
      <c r="K40" s="130" t="n">
        <v>0</v>
      </c>
      <c r="L40" s="130" t="n">
        <v>0</v>
      </c>
      <c r="M40" s="130" t="n">
        <v>0</v>
      </c>
      <c r="N40" s="130" t="n">
        <v>0</v>
      </c>
      <c r="O40" s="130" t="n">
        <v>0</v>
      </c>
      <c r="P40" s="130" t="n">
        <v>0</v>
      </c>
      <c r="Q40" s="130" t="n">
        <v>0</v>
      </c>
      <c r="R40" s="130" t="n">
        <v>0</v>
      </c>
      <c r="S40" s="130" t="n">
        <v>0</v>
      </c>
      <c r="T40" s="130" t="n">
        <v>0</v>
      </c>
      <c r="U40" s="130" t="n">
        <v>0</v>
      </c>
      <c r="V40" s="130" t="n">
        <v>0</v>
      </c>
      <c r="W40" s="129" t="n">
        <v>1</v>
      </c>
      <c r="X40" s="130" t="n">
        <v>0</v>
      </c>
      <c r="Y40" s="129" t="n">
        <v>1</v>
      </c>
      <c r="Z40" s="130" t="n">
        <v>0</v>
      </c>
      <c r="AA40" s="130" t="n">
        <v>0</v>
      </c>
      <c r="AB40" s="129" t="n">
        <v>1</v>
      </c>
      <c r="AC40" s="129" t="n">
        <v>1</v>
      </c>
      <c r="AD40" s="130" t="n">
        <v>0</v>
      </c>
      <c r="AE40" s="130" t="n">
        <v>0</v>
      </c>
      <c r="AF40" s="130" t="n">
        <v>0</v>
      </c>
      <c r="AG40" s="130" t="n">
        <v>0</v>
      </c>
      <c r="AH40" s="130" t="n">
        <v>0</v>
      </c>
      <c r="AI40" s="130" t="n">
        <v>0</v>
      </c>
      <c r="AJ40" s="130" t="n">
        <v>0</v>
      </c>
      <c r="AK40" s="130" t="n">
        <v>0</v>
      </c>
      <c r="AL40" s="130" t="n">
        <v>0</v>
      </c>
      <c r="AM40" s="130" t="n">
        <v>0</v>
      </c>
      <c r="AN40" s="130" t="n">
        <v>0</v>
      </c>
      <c r="AO40" s="130" t="n">
        <v>0</v>
      </c>
      <c r="AP40" s="130" t="n">
        <v>0</v>
      </c>
      <c r="AQ40" s="130" t="n">
        <v>0</v>
      </c>
      <c r="AS40" s="131" t="n">
        <f aca="false">IF(SUM(03_Colocation_Calc!$T$40:$AC$40)&gt;0,1,0)</f>
        <v>1</v>
      </c>
    </row>
    <row r="41" customFormat="false" ht="15.75" hidden="false" customHeight="true" outlineLevel="0" collapsed="false">
      <c r="A41" s="128" t="s">
        <v>439</v>
      </c>
      <c r="B41" s="128" t="s">
        <v>440</v>
      </c>
      <c r="C41" s="130" t="n">
        <v>0</v>
      </c>
      <c r="D41" s="130" t="n">
        <v>0</v>
      </c>
      <c r="E41" s="130" t="n">
        <v>0</v>
      </c>
      <c r="F41" s="130" t="n">
        <v>0</v>
      </c>
      <c r="G41" s="130" t="n">
        <v>0</v>
      </c>
      <c r="H41" s="130" t="n">
        <v>0</v>
      </c>
      <c r="I41" s="130" t="n">
        <v>0</v>
      </c>
      <c r="J41" s="130" t="n">
        <v>0</v>
      </c>
      <c r="K41" s="130" t="n">
        <v>0</v>
      </c>
      <c r="L41" s="130" t="n">
        <v>0</v>
      </c>
      <c r="M41" s="130" t="n">
        <v>0</v>
      </c>
      <c r="N41" s="130" t="n">
        <v>0</v>
      </c>
      <c r="O41" s="130" t="n">
        <v>0</v>
      </c>
      <c r="P41" s="130" t="n">
        <v>0</v>
      </c>
      <c r="Q41" s="130" t="n">
        <v>0</v>
      </c>
      <c r="R41" s="130" t="n">
        <v>0</v>
      </c>
      <c r="S41" s="130" t="n">
        <v>0</v>
      </c>
      <c r="T41" s="130" t="n">
        <v>0</v>
      </c>
      <c r="U41" s="130" t="n">
        <v>0</v>
      </c>
      <c r="V41" s="130" t="n">
        <v>0</v>
      </c>
      <c r="W41" s="130" t="n">
        <v>0</v>
      </c>
      <c r="X41" s="130" t="n">
        <v>0</v>
      </c>
      <c r="Y41" s="130" t="n">
        <v>0</v>
      </c>
      <c r="Z41" s="130" t="n">
        <v>0</v>
      </c>
      <c r="AA41" s="129" t="n">
        <v>1</v>
      </c>
      <c r="AB41" s="130" t="n">
        <v>0</v>
      </c>
      <c r="AC41" s="130" t="n">
        <v>0</v>
      </c>
      <c r="AD41" s="130" t="n">
        <v>0</v>
      </c>
      <c r="AE41" s="129" t="n">
        <v>1</v>
      </c>
      <c r="AF41" s="130" t="n">
        <v>0</v>
      </c>
      <c r="AG41" s="130" t="n">
        <v>0</v>
      </c>
      <c r="AH41" s="130" t="n">
        <v>0</v>
      </c>
      <c r="AI41" s="130" t="n">
        <v>0</v>
      </c>
      <c r="AJ41" s="130" t="n">
        <v>0</v>
      </c>
      <c r="AK41" s="130" t="n">
        <v>0</v>
      </c>
      <c r="AL41" s="130" t="n">
        <v>0</v>
      </c>
      <c r="AM41" s="130" t="n">
        <v>0</v>
      </c>
      <c r="AN41" s="130" t="n">
        <v>0</v>
      </c>
      <c r="AO41" s="130" t="n">
        <v>0</v>
      </c>
      <c r="AP41" s="130" t="n">
        <v>0</v>
      </c>
      <c r="AQ41" s="130" t="n">
        <v>0</v>
      </c>
      <c r="AS41" s="131" t="n">
        <f aca="false">IF(SUM(03_Colocation_Calc!$T$41:$AC$41)&gt;0,1,0)</f>
        <v>1</v>
      </c>
    </row>
    <row r="42" customFormat="false" ht="15.75" hidden="false" customHeight="true" outlineLevel="0" collapsed="false">
      <c r="A42" s="128" t="s">
        <v>449</v>
      </c>
      <c r="B42" s="128" t="s">
        <v>450</v>
      </c>
      <c r="C42" s="130" t="n">
        <v>0</v>
      </c>
      <c r="D42" s="130" t="n">
        <v>0</v>
      </c>
      <c r="E42" s="130" t="n">
        <v>0</v>
      </c>
      <c r="F42" s="130" t="n">
        <v>0</v>
      </c>
      <c r="G42" s="130" t="n">
        <v>0</v>
      </c>
      <c r="H42" s="130" t="n">
        <v>0</v>
      </c>
      <c r="I42" s="130" t="n">
        <v>0</v>
      </c>
      <c r="J42" s="130" t="n">
        <v>0</v>
      </c>
      <c r="K42" s="130" t="n">
        <v>0</v>
      </c>
      <c r="L42" s="130" t="n">
        <v>0</v>
      </c>
      <c r="M42" s="130" t="n">
        <v>0</v>
      </c>
      <c r="N42" s="130" t="n">
        <v>0</v>
      </c>
      <c r="O42" s="130" t="n">
        <v>0</v>
      </c>
      <c r="P42" s="130" t="n">
        <v>0</v>
      </c>
      <c r="Q42" s="130" t="n">
        <v>0</v>
      </c>
      <c r="R42" s="130" t="n">
        <v>0</v>
      </c>
      <c r="S42" s="130" t="n">
        <v>0</v>
      </c>
      <c r="T42" s="130" t="n">
        <v>0</v>
      </c>
      <c r="U42" s="130" t="n">
        <v>0</v>
      </c>
      <c r="V42" s="130" t="n">
        <v>0</v>
      </c>
      <c r="W42" s="130" t="n">
        <v>0</v>
      </c>
      <c r="X42" s="130" t="n">
        <v>0</v>
      </c>
      <c r="Y42" s="130" t="n">
        <v>0</v>
      </c>
      <c r="Z42" s="130" t="n">
        <v>0</v>
      </c>
      <c r="AA42" s="129" t="n">
        <v>1</v>
      </c>
      <c r="AB42" s="130" t="n">
        <v>0</v>
      </c>
      <c r="AC42" s="130" t="n">
        <v>0</v>
      </c>
      <c r="AD42" s="130" t="n">
        <v>0</v>
      </c>
      <c r="AE42" s="130" t="n">
        <v>0</v>
      </c>
      <c r="AF42" s="129" t="n">
        <v>1</v>
      </c>
      <c r="AG42" s="130" t="n">
        <v>0</v>
      </c>
      <c r="AH42" s="130" t="n">
        <v>0</v>
      </c>
      <c r="AI42" s="130" t="n">
        <v>0</v>
      </c>
      <c r="AJ42" s="130" t="n">
        <v>0</v>
      </c>
      <c r="AK42" s="130" t="n">
        <v>0</v>
      </c>
      <c r="AL42" s="130" t="n">
        <v>0</v>
      </c>
      <c r="AM42" s="130" t="n">
        <v>0</v>
      </c>
      <c r="AN42" s="130" t="n">
        <v>0</v>
      </c>
      <c r="AO42" s="130" t="n">
        <v>0</v>
      </c>
      <c r="AP42" s="130" t="n">
        <v>0</v>
      </c>
      <c r="AQ42" s="129" t="n">
        <v>1</v>
      </c>
      <c r="AS42" s="131" t="n">
        <f aca="false">IF(SUM(03_Colocation_Calc!$T$42:$AC$42)&gt;0,1,0)</f>
        <v>1</v>
      </c>
    </row>
    <row r="43" customFormat="false" ht="15.75" hidden="false" customHeight="true" outlineLevel="0" collapsed="false">
      <c r="A43" s="128" t="s">
        <v>459</v>
      </c>
      <c r="B43" s="128" t="s">
        <v>460</v>
      </c>
      <c r="C43" s="130" t="n">
        <v>0</v>
      </c>
      <c r="D43" s="130" t="n">
        <v>0</v>
      </c>
      <c r="E43" s="130" t="n">
        <v>0</v>
      </c>
      <c r="F43" s="130" t="n">
        <v>0</v>
      </c>
      <c r="G43" s="130" t="n">
        <v>0</v>
      </c>
      <c r="H43" s="130" t="n">
        <v>0</v>
      </c>
      <c r="I43" s="130" t="n">
        <v>0</v>
      </c>
      <c r="J43" s="130" t="n">
        <v>0</v>
      </c>
      <c r="K43" s="130" t="n">
        <v>0</v>
      </c>
      <c r="L43" s="130" t="n">
        <v>0</v>
      </c>
      <c r="M43" s="130" t="n">
        <v>0</v>
      </c>
      <c r="N43" s="130" t="n">
        <v>0</v>
      </c>
      <c r="O43" s="130" t="n">
        <v>0</v>
      </c>
      <c r="P43" s="130" t="n">
        <v>0</v>
      </c>
      <c r="Q43" s="130" t="n">
        <v>0</v>
      </c>
      <c r="R43" s="130" t="n">
        <v>0</v>
      </c>
      <c r="S43" s="130" t="n">
        <v>0</v>
      </c>
      <c r="T43" s="130" t="n">
        <v>0</v>
      </c>
      <c r="U43" s="130" t="n">
        <v>0</v>
      </c>
      <c r="V43" s="130" t="n">
        <v>0</v>
      </c>
      <c r="W43" s="130" t="n">
        <v>0</v>
      </c>
      <c r="X43" s="130" t="n">
        <v>0</v>
      </c>
      <c r="Y43" s="130" t="n">
        <v>0</v>
      </c>
      <c r="Z43" s="130" t="n">
        <v>0</v>
      </c>
      <c r="AA43" s="130" t="n">
        <v>0</v>
      </c>
      <c r="AB43" s="130" t="n">
        <v>0</v>
      </c>
      <c r="AC43" s="130" t="n">
        <v>0</v>
      </c>
      <c r="AD43" s="130" t="n">
        <v>0</v>
      </c>
      <c r="AE43" s="130" t="n">
        <v>0</v>
      </c>
      <c r="AF43" s="129" t="n">
        <v>1</v>
      </c>
      <c r="AG43" s="130" t="n">
        <v>0</v>
      </c>
      <c r="AH43" s="130" t="n">
        <v>0</v>
      </c>
      <c r="AI43" s="130" t="n">
        <v>0</v>
      </c>
      <c r="AJ43" s="130" t="n">
        <v>0</v>
      </c>
      <c r="AK43" s="130" t="n">
        <v>0</v>
      </c>
      <c r="AL43" s="130" t="n">
        <v>0</v>
      </c>
      <c r="AM43" s="130" t="n">
        <v>0</v>
      </c>
      <c r="AN43" s="130" t="n">
        <v>0</v>
      </c>
      <c r="AO43" s="130" t="n">
        <v>0</v>
      </c>
      <c r="AP43" s="130" t="n">
        <v>0</v>
      </c>
      <c r="AQ43" s="130" t="n">
        <v>0</v>
      </c>
      <c r="AS43" s="131" t="n">
        <f aca="false">IF(SUM(03_Colocation_Calc!$T$43:$AC$43)&gt;0,1,0)</f>
        <v>1</v>
      </c>
    </row>
    <row r="44" customFormat="false" ht="15.75" hidden="false" customHeight="true" outlineLevel="0" collapsed="false">
      <c r="A44" s="128" t="s">
        <v>468</v>
      </c>
      <c r="B44" s="128" t="s">
        <v>469</v>
      </c>
      <c r="C44" s="130" t="n">
        <v>0</v>
      </c>
      <c r="D44" s="130" t="n">
        <v>0</v>
      </c>
      <c r="E44" s="130" t="n">
        <v>0</v>
      </c>
      <c r="F44" s="130" t="n">
        <v>0</v>
      </c>
      <c r="G44" s="130" t="n">
        <v>0</v>
      </c>
      <c r="H44" s="130" t="n">
        <v>0</v>
      </c>
      <c r="I44" s="130" t="n">
        <v>0</v>
      </c>
      <c r="J44" s="130" t="n">
        <v>0</v>
      </c>
      <c r="K44" s="130" t="n">
        <v>0</v>
      </c>
      <c r="L44" s="130" t="n">
        <v>0</v>
      </c>
      <c r="M44" s="130" t="n">
        <v>0</v>
      </c>
      <c r="N44" s="130" t="n">
        <v>0</v>
      </c>
      <c r="O44" s="130" t="n">
        <v>0</v>
      </c>
      <c r="P44" s="130" t="n">
        <v>0</v>
      </c>
      <c r="Q44" s="130" t="n">
        <v>0</v>
      </c>
      <c r="R44" s="130" t="n">
        <v>0</v>
      </c>
      <c r="S44" s="130" t="n">
        <v>0</v>
      </c>
      <c r="T44" s="130" t="n">
        <v>0</v>
      </c>
      <c r="U44" s="130" t="n">
        <v>0</v>
      </c>
      <c r="V44" s="130" t="n">
        <v>0</v>
      </c>
      <c r="W44" s="130" t="n">
        <v>0</v>
      </c>
      <c r="X44" s="130" t="n">
        <v>0</v>
      </c>
      <c r="Y44" s="130" t="n">
        <v>0</v>
      </c>
      <c r="Z44" s="130" t="n">
        <v>0</v>
      </c>
      <c r="AA44" s="129" t="n">
        <v>1</v>
      </c>
      <c r="AB44" s="130" t="n">
        <v>0</v>
      </c>
      <c r="AC44" s="130" t="n">
        <v>0</v>
      </c>
      <c r="AD44" s="130" t="n">
        <v>0</v>
      </c>
      <c r="AE44" s="130" t="n">
        <v>0</v>
      </c>
      <c r="AF44" s="129" t="n">
        <v>1</v>
      </c>
      <c r="AG44" s="130" t="n">
        <v>0</v>
      </c>
      <c r="AH44" s="130" t="n">
        <v>0</v>
      </c>
      <c r="AI44" s="130" t="n">
        <v>0</v>
      </c>
      <c r="AJ44" s="130" t="n">
        <v>0</v>
      </c>
      <c r="AK44" s="130" t="n">
        <v>0</v>
      </c>
      <c r="AL44" s="130" t="n">
        <v>0</v>
      </c>
      <c r="AM44" s="130" t="n">
        <v>0</v>
      </c>
      <c r="AN44" s="130" t="n">
        <v>0</v>
      </c>
      <c r="AO44" s="130" t="n">
        <v>0</v>
      </c>
      <c r="AP44" s="130" t="n">
        <v>0</v>
      </c>
      <c r="AQ44" s="129" t="n">
        <v>1</v>
      </c>
      <c r="AS44" s="131" t="n">
        <f aca="false">IF(SUM(03_Colocation_Calc!$T$44:$AC$44)&gt;0,1,0)</f>
        <v>0</v>
      </c>
    </row>
    <row r="45" customFormat="false" ht="15.75" hidden="false" customHeight="true" outlineLevel="0" collapsed="false">
      <c r="A45" s="128" t="s">
        <v>474</v>
      </c>
      <c r="B45" s="128" t="s">
        <v>475</v>
      </c>
      <c r="C45" s="130" t="n">
        <v>0</v>
      </c>
      <c r="D45" s="130" t="n">
        <v>0</v>
      </c>
      <c r="E45" s="130" t="n">
        <v>0</v>
      </c>
      <c r="F45" s="130" t="n">
        <v>0</v>
      </c>
      <c r="G45" s="130" t="n">
        <v>0</v>
      </c>
      <c r="H45" s="130" t="n">
        <v>0</v>
      </c>
      <c r="I45" s="130" t="n">
        <v>0</v>
      </c>
      <c r="J45" s="130" t="n">
        <v>0</v>
      </c>
      <c r="K45" s="130" t="n">
        <v>0</v>
      </c>
      <c r="L45" s="130" t="n">
        <v>0</v>
      </c>
      <c r="M45" s="130" t="n">
        <v>0</v>
      </c>
      <c r="N45" s="130" t="n">
        <v>0</v>
      </c>
      <c r="O45" s="129" t="n">
        <v>1</v>
      </c>
      <c r="P45" s="130" t="n">
        <v>0</v>
      </c>
      <c r="Q45" s="130" t="n">
        <v>0</v>
      </c>
      <c r="R45" s="130" t="n">
        <v>0</v>
      </c>
      <c r="S45" s="130" t="n">
        <v>0</v>
      </c>
      <c r="T45" s="130" t="n">
        <v>0</v>
      </c>
      <c r="U45" s="130" t="n">
        <v>0</v>
      </c>
      <c r="V45" s="130" t="n">
        <v>0</v>
      </c>
      <c r="W45" s="130" t="n">
        <v>0</v>
      </c>
      <c r="X45" s="130" t="n">
        <v>0</v>
      </c>
      <c r="Y45" s="130" t="n">
        <v>0</v>
      </c>
      <c r="Z45" s="130" t="n">
        <v>0</v>
      </c>
      <c r="AA45" s="130" t="n">
        <v>0</v>
      </c>
      <c r="AB45" s="130" t="n">
        <v>0</v>
      </c>
      <c r="AC45" s="130" t="n">
        <v>0</v>
      </c>
      <c r="AD45" s="130" t="n">
        <v>0</v>
      </c>
      <c r="AE45" s="130" t="n">
        <v>0</v>
      </c>
      <c r="AF45" s="130" t="n">
        <v>0</v>
      </c>
      <c r="AG45" s="130" t="n">
        <v>0</v>
      </c>
      <c r="AH45" s="129" t="n">
        <v>1</v>
      </c>
      <c r="AI45" s="130" t="n">
        <v>0</v>
      </c>
      <c r="AJ45" s="130" t="n">
        <v>0</v>
      </c>
      <c r="AK45" s="130" t="n">
        <v>0</v>
      </c>
      <c r="AL45" s="130" t="n">
        <v>0</v>
      </c>
      <c r="AM45" s="129" t="n">
        <v>1</v>
      </c>
      <c r="AN45" s="130" t="n">
        <v>0</v>
      </c>
      <c r="AO45" s="130" t="n">
        <v>0</v>
      </c>
      <c r="AP45" s="130" t="n">
        <v>0</v>
      </c>
      <c r="AQ45" s="130" t="n">
        <v>0</v>
      </c>
      <c r="AS45" s="131" t="n">
        <f aca="false">IF(SUM(03_Colocation_Calc!$T$45:$AC$45)&gt;0,1,0)</f>
        <v>1</v>
      </c>
    </row>
    <row r="46" customFormat="false" ht="15.75" hidden="false" customHeight="true" outlineLevel="0" collapsed="false">
      <c r="A46" s="128" t="s">
        <v>484</v>
      </c>
      <c r="B46" s="128" t="s">
        <v>485</v>
      </c>
      <c r="C46" s="130" t="n">
        <v>0</v>
      </c>
      <c r="D46" s="130" t="n">
        <v>0</v>
      </c>
      <c r="E46" s="130" t="n">
        <v>0</v>
      </c>
      <c r="F46" s="130" t="n">
        <v>0</v>
      </c>
      <c r="G46" s="130" t="n">
        <v>0</v>
      </c>
      <c r="H46" s="130" t="n">
        <v>0</v>
      </c>
      <c r="I46" s="130" t="n">
        <v>0</v>
      </c>
      <c r="J46" s="130" t="n">
        <v>0</v>
      </c>
      <c r="K46" s="130" t="n">
        <v>0</v>
      </c>
      <c r="L46" s="130" t="n">
        <v>0</v>
      </c>
      <c r="M46" s="130" t="n">
        <v>0</v>
      </c>
      <c r="N46" s="130" t="n">
        <v>0</v>
      </c>
      <c r="O46" s="130" t="n">
        <v>0</v>
      </c>
      <c r="P46" s="130" t="n">
        <v>0</v>
      </c>
      <c r="Q46" s="130" t="n">
        <v>0</v>
      </c>
      <c r="R46" s="130" t="n">
        <v>0</v>
      </c>
      <c r="S46" s="130" t="n">
        <v>0</v>
      </c>
      <c r="T46" s="130" t="n">
        <v>0</v>
      </c>
      <c r="U46" s="130" t="n">
        <v>0</v>
      </c>
      <c r="V46" s="130" t="n">
        <v>0</v>
      </c>
      <c r="W46" s="130" t="n">
        <v>0</v>
      </c>
      <c r="X46" s="130" t="n">
        <v>0</v>
      </c>
      <c r="Y46" s="130" t="n">
        <v>0</v>
      </c>
      <c r="Z46" s="130" t="n">
        <v>0</v>
      </c>
      <c r="AA46" s="130" t="n">
        <v>0</v>
      </c>
      <c r="AB46" s="130" t="n">
        <v>0</v>
      </c>
      <c r="AC46" s="130" t="n">
        <v>0</v>
      </c>
      <c r="AD46" s="130" t="n">
        <v>0</v>
      </c>
      <c r="AE46" s="130" t="n">
        <v>0</v>
      </c>
      <c r="AF46" s="130" t="n">
        <v>0</v>
      </c>
      <c r="AG46" s="130" t="n">
        <v>0</v>
      </c>
      <c r="AH46" s="130" t="n">
        <v>0</v>
      </c>
      <c r="AI46" s="129" t="n">
        <v>1</v>
      </c>
      <c r="AJ46" s="129" t="n">
        <v>1</v>
      </c>
      <c r="AK46" s="130" t="n">
        <v>0</v>
      </c>
      <c r="AL46" s="130" t="n">
        <v>0</v>
      </c>
      <c r="AM46" s="130" t="n">
        <v>0</v>
      </c>
      <c r="AN46" s="130" t="n">
        <v>0</v>
      </c>
      <c r="AO46" s="130" t="n">
        <v>0</v>
      </c>
      <c r="AP46" s="130" t="n">
        <v>0</v>
      </c>
      <c r="AQ46" s="130" t="n">
        <v>0</v>
      </c>
      <c r="AS46" s="131" t="n">
        <f aca="false">IF(SUM(03_Colocation_Calc!$T$46:$AC$46)&gt;0,1,0)</f>
        <v>1</v>
      </c>
    </row>
    <row r="47" customFormat="false" ht="15.75" hidden="false" customHeight="true" outlineLevel="0" collapsed="false">
      <c r="A47" s="128" t="s">
        <v>492</v>
      </c>
      <c r="B47" s="128" t="s">
        <v>493</v>
      </c>
      <c r="C47" s="130" t="n">
        <v>0</v>
      </c>
      <c r="D47" s="130" t="n">
        <v>0</v>
      </c>
      <c r="E47" s="130" t="n">
        <v>0</v>
      </c>
      <c r="F47" s="130" t="n">
        <v>0</v>
      </c>
      <c r="G47" s="130" t="n">
        <v>0</v>
      </c>
      <c r="H47" s="130" t="n">
        <v>0</v>
      </c>
      <c r="I47" s="130" t="n">
        <v>0</v>
      </c>
      <c r="J47" s="130" t="n">
        <v>0</v>
      </c>
      <c r="K47" s="130" t="n">
        <v>0</v>
      </c>
      <c r="L47" s="130" t="n">
        <v>0</v>
      </c>
      <c r="M47" s="130" t="n">
        <v>0</v>
      </c>
      <c r="N47" s="130" t="n">
        <v>0</v>
      </c>
      <c r="O47" s="130" t="n">
        <v>0</v>
      </c>
      <c r="P47" s="130" t="n">
        <v>0</v>
      </c>
      <c r="Q47" s="130" t="n">
        <v>0</v>
      </c>
      <c r="R47" s="130" t="n">
        <v>0</v>
      </c>
      <c r="S47" s="130" t="n">
        <v>0</v>
      </c>
      <c r="T47" s="130" t="n">
        <v>0</v>
      </c>
      <c r="U47" s="130" t="n">
        <v>0</v>
      </c>
      <c r="V47" s="130" t="n">
        <v>0</v>
      </c>
      <c r="W47" s="130" t="n">
        <v>0</v>
      </c>
      <c r="X47" s="130" t="n">
        <v>0</v>
      </c>
      <c r="Y47" s="129" t="n">
        <v>1</v>
      </c>
      <c r="Z47" s="130" t="n">
        <v>0</v>
      </c>
      <c r="AA47" s="130" t="n">
        <v>0</v>
      </c>
      <c r="AB47" s="130" t="n">
        <v>0</v>
      </c>
      <c r="AC47" s="130" t="n">
        <v>0</v>
      </c>
      <c r="AD47" s="130" t="n">
        <v>0</v>
      </c>
      <c r="AE47" s="130" t="n">
        <v>0</v>
      </c>
      <c r="AF47" s="130" t="n">
        <v>0</v>
      </c>
      <c r="AG47" s="130" t="n">
        <v>0</v>
      </c>
      <c r="AH47" s="130" t="n">
        <v>0</v>
      </c>
      <c r="AI47" s="130" t="n">
        <v>0</v>
      </c>
      <c r="AJ47" s="130" t="n">
        <v>0</v>
      </c>
      <c r="AK47" s="130" t="n">
        <v>0</v>
      </c>
      <c r="AL47" s="130" t="n">
        <v>0</v>
      </c>
      <c r="AM47" s="130" t="n">
        <v>0</v>
      </c>
      <c r="AN47" s="129" t="n">
        <v>1</v>
      </c>
      <c r="AO47" s="130" t="n">
        <v>0</v>
      </c>
      <c r="AP47" s="130" t="n">
        <v>0</v>
      </c>
      <c r="AQ47" s="130" t="n">
        <v>0</v>
      </c>
      <c r="AS47" s="131" t="n">
        <f aca="false">IF(SUM(03_Colocation_Calc!$T$47:$AC$47)&gt;0,1,0)</f>
        <v>1</v>
      </c>
    </row>
    <row r="48" customFormat="false" ht="15.75" hidden="false" customHeight="true" outlineLevel="0" collapsed="false">
      <c r="A48" s="128" t="s">
        <v>500</v>
      </c>
      <c r="B48" s="128" t="s">
        <v>501</v>
      </c>
      <c r="C48" s="130" t="n">
        <v>0</v>
      </c>
      <c r="D48" s="130" t="n">
        <v>0</v>
      </c>
      <c r="E48" s="130" t="n">
        <v>0</v>
      </c>
      <c r="F48" s="130" t="n">
        <v>0</v>
      </c>
      <c r="G48" s="130" t="n">
        <v>0</v>
      </c>
      <c r="H48" s="130" t="n">
        <v>0</v>
      </c>
      <c r="I48" s="130" t="n">
        <v>0</v>
      </c>
      <c r="J48" s="130" t="n">
        <v>0</v>
      </c>
      <c r="K48" s="130" t="n">
        <v>0</v>
      </c>
      <c r="L48" s="130" t="n">
        <v>0</v>
      </c>
      <c r="M48" s="130" t="n">
        <v>0</v>
      </c>
      <c r="N48" s="130" t="n">
        <v>0</v>
      </c>
      <c r="O48" s="130" t="n">
        <v>0</v>
      </c>
      <c r="P48" s="130" t="n">
        <v>0</v>
      </c>
      <c r="Q48" s="130" t="n">
        <v>0</v>
      </c>
      <c r="R48" s="130" t="n">
        <v>0</v>
      </c>
      <c r="S48" s="130" t="n">
        <v>0</v>
      </c>
      <c r="T48" s="130" t="n">
        <v>0</v>
      </c>
      <c r="U48" s="130" t="n">
        <v>0</v>
      </c>
      <c r="V48" s="130" t="n">
        <v>0</v>
      </c>
      <c r="W48" s="130" t="n">
        <v>0</v>
      </c>
      <c r="X48" s="130" t="n">
        <v>0</v>
      </c>
      <c r="Y48" s="130" t="n">
        <v>0</v>
      </c>
      <c r="Z48" s="130" t="n">
        <v>0</v>
      </c>
      <c r="AA48" s="130" t="n">
        <v>0</v>
      </c>
      <c r="AB48" s="130" t="n">
        <v>0</v>
      </c>
      <c r="AC48" s="130" t="n">
        <v>0</v>
      </c>
      <c r="AD48" s="130" t="n">
        <v>0</v>
      </c>
      <c r="AE48" s="130" t="n">
        <v>0</v>
      </c>
      <c r="AF48" s="130" t="n">
        <v>0</v>
      </c>
      <c r="AG48" s="130" t="n">
        <v>0</v>
      </c>
      <c r="AH48" s="130" t="n">
        <v>0</v>
      </c>
      <c r="AI48" s="130" t="n">
        <v>0</v>
      </c>
      <c r="AJ48" s="130" t="n">
        <v>0</v>
      </c>
      <c r="AK48" s="130" t="n">
        <v>0</v>
      </c>
      <c r="AL48" s="130" t="n">
        <v>0</v>
      </c>
      <c r="AM48" s="129" t="n">
        <v>1</v>
      </c>
      <c r="AN48" s="130" t="n">
        <v>0</v>
      </c>
      <c r="AO48" s="130" t="n">
        <v>0</v>
      </c>
      <c r="AP48" s="130" t="n">
        <v>0</v>
      </c>
      <c r="AQ48" s="130" t="n">
        <v>0</v>
      </c>
      <c r="AS48" s="131" t="n">
        <f aca="false">IF(SUM(03_Colocation_Calc!$T$48:$AC$48)&gt;0,1,0)</f>
        <v>1</v>
      </c>
    </row>
    <row r="49" customFormat="false" ht="15.75" hidden="false" customHeight="true" outlineLevel="0" collapsed="false">
      <c r="A49" s="128" t="s">
        <v>508</v>
      </c>
      <c r="B49" s="128" t="s">
        <v>509</v>
      </c>
      <c r="C49" s="130" t="n">
        <v>0</v>
      </c>
      <c r="D49" s="130" t="n">
        <v>0</v>
      </c>
      <c r="E49" s="130" t="n">
        <v>0</v>
      </c>
      <c r="F49" s="130" t="n">
        <v>0</v>
      </c>
      <c r="G49" s="130" t="n">
        <v>0</v>
      </c>
      <c r="H49" s="130" t="n">
        <v>0</v>
      </c>
      <c r="I49" s="130" t="n">
        <v>0</v>
      </c>
      <c r="J49" s="130" t="n">
        <v>0</v>
      </c>
      <c r="K49" s="130" t="n">
        <v>0</v>
      </c>
      <c r="L49" s="130" t="n">
        <v>0</v>
      </c>
      <c r="M49" s="130" t="n">
        <v>0</v>
      </c>
      <c r="N49" s="130" t="n">
        <v>0</v>
      </c>
      <c r="O49" s="129" t="n">
        <v>1</v>
      </c>
      <c r="P49" s="130" t="n">
        <v>0</v>
      </c>
      <c r="Q49" s="130" t="n">
        <v>0</v>
      </c>
      <c r="R49" s="130" t="n">
        <v>0</v>
      </c>
      <c r="S49" s="130" t="n">
        <v>0</v>
      </c>
      <c r="T49" s="130" t="n">
        <v>0</v>
      </c>
      <c r="U49" s="130" t="n">
        <v>0</v>
      </c>
      <c r="V49" s="130" t="n">
        <v>0</v>
      </c>
      <c r="W49" s="130" t="n">
        <v>0</v>
      </c>
      <c r="X49" s="130" t="n">
        <v>0</v>
      </c>
      <c r="Y49" s="130" t="n">
        <v>0</v>
      </c>
      <c r="Z49" s="130" t="n">
        <v>0</v>
      </c>
      <c r="AA49" s="130" t="n">
        <v>0</v>
      </c>
      <c r="AB49" s="130" t="n">
        <v>0</v>
      </c>
      <c r="AC49" s="130" t="n">
        <v>0</v>
      </c>
      <c r="AD49" s="130" t="n">
        <v>0</v>
      </c>
      <c r="AE49" s="130" t="n">
        <v>0</v>
      </c>
      <c r="AF49" s="130" t="n">
        <v>0</v>
      </c>
      <c r="AG49" s="130" t="n">
        <v>0</v>
      </c>
      <c r="AH49" s="129" t="n">
        <v>1</v>
      </c>
      <c r="AI49" s="130" t="n">
        <v>0</v>
      </c>
      <c r="AJ49" s="130" t="n">
        <v>0</v>
      </c>
      <c r="AK49" s="130" t="n">
        <v>0</v>
      </c>
      <c r="AL49" s="129" t="n">
        <v>1</v>
      </c>
      <c r="AM49" s="130" t="n">
        <v>0</v>
      </c>
      <c r="AN49" s="130" t="n">
        <v>0</v>
      </c>
      <c r="AO49" s="130" t="n">
        <v>0</v>
      </c>
      <c r="AP49" s="130" t="n">
        <v>0</v>
      </c>
      <c r="AQ49" s="130" t="n">
        <v>0</v>
      </c>
      <c r="AS49" s="131" t="n">
        <f aca="false">IF(SUM(03_Colocation_Calc!$T$49:$AC$49)&gt;0,1,0)</f>
        <v>1</v>
      </c>
    </row>
    <row r="50" customFormat="false" ht="15.75" hidden="false" customHeight="true" outlineLevel="0" collapsed="false">
      <c r="A50" s="128" t="s">
        <v>517</v>
      </c>
      <c r="B50" s="128" t="s">
        <v>518</v>
      </c>
      <c r="C50" s="130" t="n">
        <v>0</v>
      </c>
      <c r="D50" s="130" t="n">
        <v>0</v>
      </c>
      <c r="E50" s="130" t="n">
        <v>0</v>
      </c>
      <c r="F50" s="130" t="n">
        <v>0</v>
      </c>
      <c r="G50" s="130" t="n">
        <v>0</v>
      </c>
      <c r="H50" s="130" t="n">
        <v>0</v>
      </c>
      <c r="I50" s="130" t="n">
        <v>0</v>
      </c>
      <c r="J50" s="130" t="n">
        <v>0</v>
      </c>
      <c r="K50" s="130" t="n">
        <v>0</v>
      </c>
      <c r="L50" s="130" t="n">
        <v>0</v>
      </c>
      <c r="M50" s="130" t="n">
        <v>0</v>
      </c>
      <c r="N50" s="130" t="n">
        <v>0</v>
      </c>
      <c r="O50" s="130" t="n">
        <v>0</v>
      </c>
      <c r="P50" s="129" t="n">
        <v>1</v>
      </c>
      <c r="Q50" s="130" t="n">
        <v>0</v>
      </c>
      <c r="R50" s="130" t="n">
        <v>0</v>
      </c>
      <c r="S50" s="130" t="n">
        <v>0</v>
      </c>
      <c r="T50" s="130" t="n">
        <v>0</v>
      </c>
      <c r="U50" s="130" t="n">
        <v>0</v>
      </c>
      <c r="V50" s="129" t="n">
        <v>1</v>
      </c>
      <c r="W50" s="129" t="n">
        <v>1</v>
      </c>
      <c r="X50" s="130" t="n">
        <v>0</v>
      </c>
      <c r="Y50" s="129" t="n">
        <v>1</v>
      </c>
      <c r="Z50" s="130" t="n">
        <v>0</v>
      </c>
      <c r="AA50" s="130" t="n">
        <v>0</v>
      </c>
      <c r="AB50" s="130" t="n">
        <v>0</v>
      </c>
      <c r="AC50" s="130" t="n">
        <v>0</v>
      </c>
      <c r="AD50" s="130" t="n">
        <v>0</v>
      </c>
      <c r="AE50" s="130" t="n">
        <v>0</v>
      </c>
      <c r="AF50" s="130" t="n">
        <v>0</v>
      </c>
      <c r="AG50" s="130" t="n">
        <v>0</v>
      </c>
      <c r="AH50" s="130" t="n">
        <v>0</v>
      </c>
      <c r="AI50" s="130" t="n">
        <v>0</v>
      </c>
      <c r="AJ50" s="130" t="n">
        <v>0</v>
      </c>
      <c r="AK50" s="130" t="n">
        <v>0</v>
      </c>
      <c r="AL50" s="130" t="n">
        <v>0</v>
      </c>
      <c r="AM50" s="130" t="n">
        <v>0</v>
      </c>
      <c r="AN50" s="130" t="n">
        <v>0</v>
      </c>
      <c r="AO50" s="130" t="n">
        <v>0</v>
      </c>
      <c r="AP50" s="130" t="n">
        <v>0</v>
      </c>
      <c r="AQ50" s="130" t="n">
        <v>0</v>
      </c>
      <c r="AS50" s="131" t="n">
        <f aca="false">IF(SUM(03_Colocation_Calc!$T$50:$AC$50)&gt;0,1,0)</f>
        <v>0</v>
      </c>
    </row>
    <row r="51" customFormat="false" ht="15.75" hidden="false" customHeight="true" outlineLevel="0" collapsed="false">
      <c r="A51" s="128" t="s">
        <v>525</v>
      </c>
      <c r="B51" s="128" t="s">
        <v>526</v>
      </c>
      <c r="C51" s="130" t="n">
        <v>0</v>
      </c>
      <c r="D51" s="130" t="n">
        <v>0</v>
      </c>
      <c r="E51" s="130" t="n">
        <v>0</v>
      </c>
      <c r="F51" s="130" t="n">
        <v>0</v>
      </c>
      <c r="G51" s="130" t="n">
        <v>0</v>
      </c>
      <c r="H51" s="130" t="n">
        <v>0</v>
      </c>
      <c r="I51" s="130" t="n">
        <v>0</v>
      </c>
      <c r="J51" s="130" t="n">
        <v>0</v>
      </c>
      <c r="K51" s="130" t="n">
        <v>0</v>
      </c>
      <c r="L51" s="130" t="n">
        <v>0</v>
      </c>
      <c r="M51" s="130" t="n">
        <v>0</v>
      </c>
      <c r="N51" s="130" t="n">
        <v>0</v>
      </c>
      <c r="O51" s="130" t="n">
        <v>0</v>
      </c>
      <c r="P51" s="130" t="n">
        <v>0</v>
      </c>
      <c r="Q51" s="129" t="n">
        <v>1</v>
      </c>
      <c r="R51" s="129" t="n">
        <v>1</v>
      </c>
      <c r="S51" s="130" t="n">
        <v>0</v>
      </c>
      <c r="T51" s="130" t="n">
        <v>0</v>
      </c>
      <c r="U51" s="130" t="n">
        <v>0</v>
      </c>
      <c r="V51" s="130" t="n">
        <v>0</v>
      </c>
      <c r="W51" s="130" t="n">
        <v>0</v>
      </c>
      <c r="X51" s="130" t="n">
        <v>0</v>
      </c>
      <c r="Y51" s="130" t="n">
        <v>0</v>
      </c>
      <c r="Z51" s="130" t="n">
        <v>0</v>
      </c>
      <c r="AA51" s="130" t="n">
        <v>0</v>
      </c>
      <c r="AB51" s="129" t="n">
        <v>1</v>
      </c>
      <c r="AC51" s="130" t="n">
        <v>0</v>
      </c>
      <c r="AD51" s="130" t="n">
        <v>0</v>
      </c>
      <c r="AE51" s="130" t="n">
        <v>0</v>
      </c>
      <c r="AF51" s="130" t="n">
        <v>0</v>
      </c>
      <c r="AG51" s="130" t="n">
        <v>0</v>
      </c>
      <c r="AH51" s="130" t="n">
        <v>0</v>
      </c>
      <c r="AI51" s="130" t="n">
        <v>0</v>
      </c>
      <c r="AJ51" s="130" t="n">
        <v>0</v>
      </c>
      <c r="AK51" s="130" t="n">
        <v>0</v>
      </c>
      <c r="AL51" s="130" t="n">
        <v>0</v>
      </c>
      <c r="AM51" s="130" t="n">
        <v>0</v>
      </c>
      <c r="AN51" s="130" t="n">
        <v>0</v>
      </c>
      <c r="AO51" s="130" t="n">
        <v>0</v>
      </c>
      <c r="AP51" s="130" t="n">
        <v>0</v>
      </c>
      <c r="AQ51" s="130" t="n">
        <v>0</v>
      </c>
      <c r="AS51" s="131" t="n">
        <f aca="false">IF(SUM(03_Colocation_Calc!$T$51:$AC$51)&gt;0,1,0)</f>
        <v>0</v>
      </c>
    </row>
    <row r="52" customFormat="false" ht="15.75" hidden="false" customHeight="true" outlineLevel="0" collapsed="false">
      <c r="A52" s="128" t="s">
        <v>533</v>
      </c>
      <c r="B52" s="128" t="s">
        <v>534</v>
      </c>
      <c r="C52" s="130" t="n">
        <v>0</v>
      </c>
      <c r="D52" s="130" t="n">
        <v>0</v>
      </c>
      <c r="E52" s="130" t="n">
        <v>0</v>
      </c>
      <c r="F52" s="130" t="n">
        <v>0</v>
      </c>
      <c r="G52" s="130" t="n">
        <v>0</v>
      </c>
      <c r="H52" s="130" t="n">
        <v>0</v>
      </c>
      <c r="I52" s="130" t="n">
        <v>0</v>
      </c>
      <c r="J52" s="130" t="n">
        <v>0</v>
      </c>
      <c r="K52" s="130" t="n">
        <v>0</v>
      </c>
      <c r="L52" s="129" t="n">
        <v>1</v>
      </c>
      <c r="M52" s="130" t="n">
        <v>0</v>
      </c>
      <c r="N52" s="130" t="n">
        <v>0</v>
      </c>
      <c r="O52" s="130" t="n">
        <v>0</v>
      </c>
      <c r="P52" s="130" t="n">
        <v>0</v>
      </c>
      <c r="Q52" s="130" t="n">
        <v>0</v>
      </c>
      <c r="R52" s="130" t="n">
        <v>0</v>
      </c>
      <c r="S52" s="130" t="n">
        <v>0</v>
      </c>
      <c r="T52" s="130" t="n">
        <v>0</v>
      </c>
      <c r="U52" s="130" t="n">
        <v>0</v>
      </c>
      <c r="V52" s="130" t="n">
        <v>0</v>
      </c>
      <c r="W52" s="130" t="n">
        <v>0</v>
      </c>
      <c r="X52" s="130" t="n">
        <v>0</v>
      </c>
      <c r="Y52" s="130" t="n">
        <v>0</v>
      </c>
      <c r="Z52" s="130" t="n">
        <v>0</v>
      </c>
      <c r="AA52" s="130" t="n">
        <v>0</v>
      </c>
      <c r="AB52" s="130" t="n">
        <v>0</v>
      </c>
      <c r="AC52" s="130" t="n">
        <v>0</v>
      </c>
      <c r="AD52" s="130" t="n">
        <v>0</v>
      </c>
      <c r="AE52" s="130" t="n">
        <v>0</v>
      </c>
      <c r="AF52" s="130" t="n">
        <v>0</v>
      </c>
      <c r="AG52" s="130" t="n">
        <v>0</v>
      </c>
      <c r="AH52" s="130" t="n">
        <v>0</v>
      </c>
      <c r="AI52" s="130" t="n">
        <v>0</v>
      </c>
      <c r="AJ52" s="130" t="n">
        <v>0</v>
      </c>
      <c r="AK52" s="130" t="n">
        <v>0</v>
      </c>
      <c r="AL52" s="130" t="n">
        <v>0</v>
      </c>
      <c r="AM52" s="130" t="n">
        <v>0</v>
      </c>
      <c r="AN52" s="130" t="n">
        <v>0</v>
      </c>
      <c r="AO52" s="130" t="n">
        <v>0</v>
      </c>
      <c r="AP52" s="130" t="n">
        <v>0</v>
      </c>
      <c r="AQ52" s="130" t="n">
        <v>0</v>
      </c>
      <c r="AS52" s="131" t="n">
        <f aca="false">IF(SUM(03_Colocation_Calc!$T$52:$AC$52)&gt;0,1,0)</f>
        <v>0</v>
      </c>
    </row>
    <row r="53" customFormat="false" ht="15.75" hidden="false" customHeight="true" outlineLevel="0" collapsed="false">
      <c r="A53" s="128" t="s">
        <v>540</v>
      </c>
      <c r="B53" s="128" t="s">
        <v>541</v>
      </c>
      <c r="C53" s="130" t="n">
        <v>0</v>
      </c>
      <c r="D53" s="130" t="n">
        <v>0</v>
      </c>
      <c r="E53" s="130" t="n">
        <v>0</v>
      </c>
      <c r="F53" s="130" t="n">
        <v>0</v>
      </c>
      <c r="G53" s="130" t="n">
        <v>0</v>
      </c>
      <c r="H53" s="130" t="n">
        <v>0</v>
      </c>
      <c r="I53" s="130" t="n">
        <v>0</v>
      </c>
      <c r="J53" s="130" t="n">
        <v>0</v>
      </c>
      <c r="K53" s="130" t="n">
        <v>0</v>
      </c>
      <c r="L53" s="130" t="n">
        <v>0</v>
      </c>
      <c r="M53" s="130" t="n">
        <v>0</v>
      </c>
      <c r="N53" s="130" t="n">
        <v>0</v>
      </c>
      <c r="O53" s="130" t="n">
        <v>0</v>
      </c>
      <c r="P53" s="130" t="n">
        <v>0</v>
      </c>
      <c r="Q53" s="130" t="n">
        <v>0</v>
      </c>
      <c r="R53" s="130" t="n">
        <v>0</v>
      </c>
      <c r="S53" s="130" t="n">
        <v>0</v>
      </c>
      <c r="T53" s="130" t="n">
        <v>0</v>
      </c>
      <c r="U53" s="130" t="n">
        <v>0</v>
      </c>
      <c r="V53" s="130" t="n">
        <v>0</v>
      </c>
      <c r="W53" s="130" t="n">
        <v>0</v>
      </c>
      <c r="X53" s="130" t="n">
        <v>0</v>
      </c>
      <c r="Y53" s="130" t="n">
        <v>0</v>
      </c>
      <c r="Z53" s="130" t="n">
        <v>0</v>
      </c>
      <c r="AA53" s="130" t="n">
        <v>0</v>
      </c>
      <c r="AB53" s="130" t="n">
        <v>0</v>
      </c>
      <c r="AC53" s="130" t="n">
        <v>0</v>
      </c>
      <c r="AD53" s="130" t="n">
        <v>0</v>
      </c>
      <c r="AE53" s="130" t="n">
        <v>0</v>
      </c>
      <c r="AF53" s="129" t="n">
        <v>1</v>
      </c>
      <c r="AG53" s="130" t="n">
        <v>0</v>
      </c>
      <c r="AH53" s="130" t="n">
        <v>0</v>
      </c>
      <c r="AI53" s="130" t="n">
        <v>0</v>
      </c>
      <c r="AJ53" s="130" t="n">
        <v>0</v>
      </c>
      <c r="AK53" s="130" t="n">
        <v>0</v>
      </c>
      <c r="AL53" s="130" t="n">
        <v>0</v>
      </c>
      <c r="AM53" s="130" t="n">
        <v>0</v>
      </c>
      <c r="AN53" s="130" t="n">
        <v>0</v>
      </c>
      <c r="AO53" s="130" t="n">
        <v>0</v>
      </c>
      <c r="AP53" s="130" t="n">
        <v>0</v>
      </c>
      <c r="AQ53" s="130" t="n">
        <v>0</v>
      </c>
      <c r="AS53" s="131" t="n">
        <f aca="false">IF(SUM(03_Colocation_Calc!$T$53:$AC$53)&gt;0,1,0)</f>
        <v>1</v>
      </c>
    </row>
    <row r="54" customFormat="false" ht="15.75" hidden="false" customHeight="true" outlineLevel="0" collapsed="false">
      <c r="A54" s="128" t="s">
        <v>547</v>
      </c>
      <c r="B54" s="128" t="s">
        <v>548</v>
      </c>
      <c r="C54" s="130" t="n">
        <v>0</v>
      </c>
      <c r="D54" s="130" t="n">
        <v>0</v>
      </c>
      <c r="E54" s="130" t="n">
        <v>0</v>
      </c>
      <c r="F54" s="130" t="n">
        <v>0</v>
      </c>
      <c r="G54" s="130" t="n">
        <v>0</v>
      </c>
      <c r="H54" s="130" t="n">
        <v>0</v>
      </c>
      <c r="I54" s="130" t="n">
        <v>0</v>
      </c>
      <c r="J54" s="130" t="n">
        <v>0</v>
      </c>
      <c r="K54" s="130" t="n">
        <v>0</v>
      </c>
      <c r="L54" s="130" t="n">
        <v>0</v>
      </c>
      <c r="M54" s="130" t="n">
        <v>0</v>
      </c>
      <c r="N54" s="130" t="n">
        <v>0</v>
      </c>
      <c r="O54" s="130" t="n">
        <v>0</v>
      </c>
      <c r="P54" s="130" t="n">
        <v>0</v>
      </c>
      <c r="Q54" s="130" t="n">
        <v>0</v>
      </c>
      <c r="R54" s="130" t="n">
        <v>0</v>
      </c>
      <c r="S54" s="130" t="n">
        <v>0</v>
      </c>
      <c r="T54" s="130" t="n">
        <v>0</v>
      </c>
      <c r="U54" s="130" t="n">
        <v>0</v>
      </c>
      <c r="V54" s="130" t="n">
        <v>0</v>
      </c>
      <c r="W54" s="130" t="n">
        <v>0</v>
      </c>
      <c r="X54" s="130" t="n">
        <v>0</v>
      </c>
      <c r="Y54" s="130" t="n">
        <v>0</v>
      </c>
      <c r="Z54" s="130" t="n">
        <v>0</v>
      </c>
      <c r="AA54" s="130" t="n">
        <v>0</v>
      </c>
      <c r="AB54" s="130" t="n">
        <v>0</v>
      </c>
      <c r="AC54" s="130" t="n">
        <v>0</v>
      </c>
      <c r="AD54" s="130" t="n">
        <v>0</v>
      </c>
      <c r="AE54" s="130" t="n">
        <v>0</v>
      </c>
      <c r="AF54" s="129" t="n">
        <v>1</v>
      </c>
      <c r="AG54" s="130" t="n">
        <v>0</v>
      </c>
      <c r="AH54" s="130" t="n">
        <v>0</v>
      </c>
      <c r="AI54" s="130" t="n">
        <v>0</v>
      </c>
      <c r="AJ54" s="130" t="n">
        <v>0</v>
      </c>
      <c r="AK54" s="130" t="n">
        <v>0</v>
      </c>
      <c r="AL54" s="130" t="n">
        <v>0</v>
      </c>
      <c r="AM54" s="130" t="n">
        <v>0</v>
      </c>
      <c r="AN54" s="130" t="n">
        <v>0</v>
      </c>
      <c r="AO54" s="130" t="n">
        <v>0</v>
      </c>
      <c r="AP54" s="130" t="n">
        <v>0</v>
      </c>
      <c r="AQ54" s="130" t="n">
        <v>0</v>
      </c>
      <c r="AS54" s="131" t="n">
        <f aca="false">IF(SUM(03_Colocation_Calc!$T$54:$AC$54)&gt;0,1,0)</f>
        <v>0</v>
      </c>
    </row>
    <row r="55" customFormat="false" ht="15.75" hidden="false" customHeight="true" outlineLevel="0" collapsed="false">
      <c r="A55" s="128" t="s">
        <v>554</v>
      </c>
      <c r="B55" s="128" t="s">
        <v>555</v>
      </c>
      <c r="C55" s="130" t="n">
        <v>0</v>
      </c>
      <c r="D55" s="130" t="n">
        <v>0</v>
      </c>
      <c r="E55" s="130" t="n">
        <v>0</v>
      </c>
      <c r="F55" s="130" t="n">
        <v>0</v>
      </c>
      <c r="G55" s="130" t="n">
        <v>0</v>
      </c>
      <c r="H55" s="130" t="n">
        <v>0</v>
      </c>
      <c r="I55" s="130" t="n">
        <v>0</v>
      </c>
      <c r="J55" s="130" t="n">
        <v>0</v>
      </c>
      <c r="K55" s="130" t="n">
        <v>0</v>
      </c>
      <c r="L55" s="130" t="n">
        <v>0</v>
      </c>
      <c r="M55" s="130" t="n">
        <v>0</v>
      </c>
      <c r="N55" s="130" t="n">
        <v>0</v>
      </c>
      <c r="O55" s="130" t="n">
        <v>0</v>
      </c>
      <c r="P55" s="130" t="n">
        <v>0</v>
      </c>
      <c r="Q55" s="130" t="n">
        <v>0</v>
      </c>
      <c r="R55" s="130" t="n">
        <v>0</v>
      </c>
      <c r="S55" s="130" t="n">
        <v>0</v>
      </c>
      <c r="T55" s="130" t="n">
        <v>0</v>
      </c>
      <c r="U55" s="130" t="n">
        <v>0</v>
      </c>
      <c r="V55" s="129" t="n">
        <v>1</v>
      </c>
      <c r="W55" s="130" t="n">
        <v>0</v>
      </c>
      <c r="X55" s="130" t="n">
        <v>0</v>
      </c>
      <c r="Y55" s="130" t="n">
        <v>0</v>
      </c>
      <c r="Z55" s="130" t="n">
        <v>0</v>
      </c>
      <c r="AA55" s="130" t="n">
        <v>0</v>
      </c>
      <c r="AB55" s="130" t="n">
        <v>0</v>
      </c>
      <c r="AC55" s="130" t="n">
        <v>0</v>
      </c>
      <c r="AD55" s="130" t="n">
        <v>0</v>
      </c>
      <c r="AE55" s="130" t="n">
        <v>0</v>
      </c>
      <c r="AF55" s="130" t="n">
        <v>0</v>
      </c>
      <c r="AG55" s="130" t="n">
        <v>0</v>
      </c>
      <c r="AH55" s="130" t="n">
        <v>0</v>
      </c>
      <c r="AI55" s="130" t="n">
        <v>0</v>
      </c>
      <c r="AJ55" s="130" t="n">
        <v>0</v>
      </c>
      <c r="AK55" s="130" t="n">
        <v>0</v>
      </c>
      <c r="AL55" s="130" t="n">
        <v>0</v>
      </c>
      <c r="AM55" s="129" t="n">
        <v>1</v>
      </c>
      <c r="AN55" s="130" t="n">
        <v>0</v>
      </c>
      <c r="AO55" s="130" t="n">
        <v>0</v>
      </c>
      <c r="AP55" s="130" t="n">
        <v>0</v>
      </c>
      <c r="AQ55" s="130" t="n">
        <v>0</v>
      </c>
      <c r="AS55" s="131" t="n">
        <f aca="false">IF(SUM(03_Colocation_Calc!$T$55:$AC$55)&gt;0,1,0)</f>
        <v>0</v>
      </c>
    </row>
    <row r="57" customFormat="false" ht="15" hidden="false" customHeight="false" outlineLevel="0" collapsed="false">
      <c r="B57" s="132" t="s">
        <v>954</v>
      </c>
      <c r="C57" s="133" t="n">
        <f aca="false">IF(SUMPRODUCT($AS$3:$AS$55,C3:C55)&gt;0,1,0)</f>
        <v>1</v>
      </c>
      <c r="D57" s="133" t="n">
        <f aca="false">IF(SUMPRODUCT($AS$3:$AS$55,D3:D55)&gt;0,1,0)</f>
        <v>1</v>
      </c>
      <c r="E57" s="133" t="n">
        <f aca="false">IF(SUMPRODUCT($AS$3:$AS$55,E3:E55)&gt;0,1,0)</f>
        <v>1</v>
      </c>
      <c r="F57" s="133" t="n">
        <f aca="false">IF(SUMPRODUCT($AS$3:$AS$55,F3:F55)&gt;0,1,0)</f>
        <v>1</v>
      </c>
      <c r="G57" s="133" t="n">
        <f aca="false">IF(SUMPRODUCT($AS$3:$AS$55,G3:G55)&gt;0,1,0)</f>
        <v>1</v>
      </c>
      <c r="H57" s="133" t="n">
        <f aca="false">IF(SUMPRODUCT($AS$3:$AS$55,H3:H55)&gt;0,1,0)</f>
        <v>1</v>
      </c>
      <c r="I57" s="133" t="n">
        <f aca="false">IF(SUMPRODUCT($AS$3:$AS$55,I3:I55)&gt;0,1,0)</f>
        <v>1</v>
      </c>
      <c r="J57" s="133" t="n">
        <f aca="false">IF(SUMPRODUCT($AS$3:$AS$55,J3:J55)&gt;0,1,0)</f>
        <v>0</v>
      </c>
      <c r="K57" s="133" t="n">
        <f aca="false">IF(SUMPRODUCT($AS$3:$AS$55,K3:K55)&gt;0,1,0)</f>
        <v>1</v>
      </c>
      <c r="L57" s="133" t="n">
        <f aca="false">IF(SUMPRODUCT($AS$3:$AS$55,L3:L55)&gt;0,1,0)</f>
        <v>1</v>
      </c>
      <c r="M57" s="133" t="n">
        <f aca="false">IF(SUMPRODUCT($AS$3:$AS$55,M3:M55)&gt;0,1,0)</f>
        <v>1</v>
      </c>
      <c r="N57" s="133" t="n">
        <f aca="false">IF(SUMPRODUCT($AS$3:$AS$55,N3:N55)&gt;0,1,0)</f>
        <v>1</v>
      </c>
      <c r="O57" s="133" t="n">
        <f aca="false">IF(SUMPRODUCT($AS$3:$AS$55,O3:O55)&gt;0,1,0)</f>
        <v>1</v>
      </c>
      <c r="P57" s="133" t="n">
        <f aca="false">IF(SUMPRODUCT($AS$3:$AS$55,P3:P55)&gt;0,1,0)</f>
        <v>1</v>
      </c>
      <c r="Q57" s="133" t="n">
        <f aca="false">IF(SUMPRODUCT($AS$3:$AS$55,Q3:Q55)&gt;0,1,0)</f>
        <v>1</v>
      </c>
      <c r="R57" s="133" t="n">
        <f aca="false">IF(SUMPRODUCT($AS$3:$AS$55,R3:R55)&gt;0,1,0)</f>
        <v>1</v>
      </c>
      <c r="S57" s="133" t="n">
        <f aca="false">IF(SUMPRODUCT($AS$3:$AS$55,S3:S55)&gt;0,1,0)</f>
        <v>1</v>
      </c>
      <c r="T57" s="133" t="n">
        <f aca="false">IF(SUMPRODUCT($AS$3:$AS$55,T3:T55)&gt;0,1,0)</f>
        <v>1</v>
      </c>
      <c r="U57" s="133" t="n">
        <f aca="false">IF(SUMPRODUCT($AS$3:$AS$55,U3:U55)&gt;0,1,0)</f>
        <v>1</v>
      </c>
      <c r="V57" s="133" t="n">
        <f aca="false">IF(SUMPRODUCT($AS$3:$AS$55,V3:V55)&gt;0,1,0)</f>
        <v>1</v>
      </c>
      <c r="W57" s="133" t="n">
        <f aca="false">IF(SUMPRODUCT($AS$3:$AS$55,W3:W55)&gt;0,1,0)</f>
        <v>1</v>
      </c>
      <c r="X57" s="133" t="n">
        <f aca="false">IF(SUMPRODUCT($AS$3:$AS$55,X3:X55)&gt;0,1,0)</f>
        <v>1</v>
      </c>
      <c r="Y57" s="133" t="n">
        <f aca="false">IF(SUMPRODUCT($AS$3:$AS$55,Y3:Y55)&gt;0,1,0)</f>
        <v>1</v>
      </c>
      <c r="Z57" s="133" t="n">
        <f aca="false">IF(SUMPRODUCT($AS$3:$AS$55,Z3:Z55)&gt;0,1,0)</f>
        <v>1</v>
      </c>
      <c r="AA57" s="133" t="n">
        <f aca="false">IF(SUMPRODUCT($AS$3:$AS$55,AA3:AA55)&gt;0,1,0)</f>
        <v>1</v>
      </c>
      <c r="AB57" s="133" t="n">
        <f aca="false">IF(SUMPRODUCT($AS$3:$AS$55,AB3:AB55)&gt;0,1,0)</f>
        <v>1</v>
      </c>
      <c r="AC57" s="133" t="n">
        <f aca="false">IF(SUMPRODUCT($AS$3:$AS$55,AC3:AC55)&gt;0,1,0)</f>
        <v>1</v>
      </c>
      <c r="AD57" s="133" t="n">
        <f aca="false">IF(SUMPRODUCT($AS$3:$AS$55,AD3:AD55)&gt;0,1,0)</f>
        <v>1</v>
      </c>
      <c r="AE57" s="133" t="n">
        <f aca="false">IF(SUMPRODUCT($AS$3:$AS$55,AE3:AE55)&gt;0,1,0)</f>
        <v>1</v>
      </c>
      <c r="AF57" s="133" t="n">
        <f aca="false">IF(SUMPRODUCT($AS$3:$AS$55,AF3:AF55)&gt;0,1,0)</f>
        <v>1</v>
      </c>
      <c r="AG57" s="133" t="n">
        <f aca="false">IF(SUMPRODUCT($AS$3:$AS$55,AG3:AG55)&gt;0,1,0)</f>
        <v>1</v>
      </c>
      <c r="AH57" s="133" t="n">
        <f aca="false">IF(SUMPRODUCT($AS$3:$AS$55,AH3:AH55)&gt;0,1,0)</f>
        <v>1</v>
      </c>
      <c r="AI57" s="133" t="n">
        <f aca="false">IF(SUMPRODUCT($AS$3:$AS$55,AI3:AI55)&gt;0,1,0)</f>
        <v>1</v>
      </c>
      <c r="AJ57" s="133" t="n">
        <f aca="false">IF(SUMPRODUCT($AS$3:$AS$55,AJ3:AJ55)&gt;0,1,0)</f>
        <v>1</v>
      </c>
      <c r="AK57" s="133" t="n">
        <f aca="false">IF(SUMPRODUCT($AS$3:$AS$55,AK3:AK55)&gt;0,1,0)</f>
        <v>1</v>
      </c>
      <c r="AL57" s="133" t="n">
        <f aca="false">IF(SUMPRODUCT($AS$3:$AS$55,AL3:AL55)&gt;0,1,0)</f>
        <v>1</v>
      </c>
      <c r="AM57" s="133" t="n">
        <f aca="false">IF(SUMPRODUCT($AS$3:$AS$55,AM3:AM55)&gt;0,1,0)</f>
        <v>1</v>
      </c>
      <c r="AN57" s="133" t="n">
        <f aca="false">IF(SUMPRODUCT($AS$3:$AS$55,AN3:AN55)&gt;0,1,0)</f>
        <v>1</v>
      </c>
      <c r="AO57" s="133" t="n">
        <f aca="false">IF(SUMPRODUCT($AS$3:$AS$55,AO3:AO55)&gt;0,1,0)</f>
        <v>1</v>
      </c>
      <c r="AP57" s="133" t="n">
        <f aca="false">IF(SUMPRODUCT($AS$3:$AS$55,AP3:AP55)&gt;0,1,0)</f>
        <v>1</v>
      </c>
      <c r="AQ57" s="133" t="n">
        <f aca="false">IF(SUMPRODUCT($AS$3:$AS$55,AQ3:AQ55)&gt;0,1,0)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40"/>
    <col collapsed="false" customWidth="true" hidden="false" outlineLevel="0" max="11" min="11" style="0" width="58"/>
  </cols>
  <sheetData>
    <row r="1" customFormat="false" ht="24" hidden="false" customHeight="true" outlineLevel="0" collapsed="false">
      <c r="A1" s="8" t="s">
        <v>955</v>
      </c>
      <c r="C1" s="3" t="s">
        <v>956</v>
      </c>
    </row>
    <row r="2" customFormat="false" ht="45.75" hidden="false" customHeight="true" outlineLevel="0" collapsed="false">
      <c r="A2" s="9" t="s">
        <v>957</v>
      </c>
      <c r="B2" s="9" t="s">
        <v>958</v>
      </c>
      <c r="C2" s="9" t="s">
        <v>959</v>
      </c>
      <c r="D2" s="9" t="s">
        <v>960</v>
      </c>
      <c r="E2" s="9" t="s">
        <v>961</v>
      </c>
      <c r="F2" s="9" t="s">
        <v>962</v>
      </c>
      <c r="G2" s="9" t="s">
        <v>963</v>
      </c>
      <c r="H2" s="9" t="s">
        <v>964</v>
      </c>
      <c r="I2" s="9" t="s">
        <v>965</v>
      </c>
      <c r="J2" s="9" t="s">
        <v>966</v>
      </c>
      <c r="K2" s="9" t="s">
        <v>967</v>
      </c>
    </row>
    <row r="3" customFormat="false" ht="60" hidden="false" customHeight="true" outlineLevel="0" collapsed="false">
      <c r="A3" s="134" t="s">
        <v>968</v>
      </c>
      <c r="B3" s="135" t="s">
        <v>969</v>
      </c>
      <c r="C3" s="134" t="s">
        <v>970</v>
      </c>
      <c r="D3" s="134" t="s">
        <v>971</v>
      </c>
      <c r="E3" s="134" t="s">
        <v>97</v>
      </c>
      <c r="F3" s="117" t="s">
        <v>972</v>
      </c>
      <c r="G3" s="117" t="s">
        <v>973</v>
      </c>
      <c r="H3" s="134" t="s">
        <v>974</v>
      </c>
      <c r="I3" s="134" t="s">
        <v>975</v>
      </c>
      <c r="J3" s="117" t="s">
        <v>976</v>
      </c>
      <c r="K3" s="117" t="s">
        <v>977</v>
      </c>
    </row>
    <row r="4" customFormat="false" ht="60" hidden="false" customHeight="true" outlineLevel="0" collapsed="false">
      <c r="A4" s="134" t="s">
        <v>978</v>
      </c>
      <c r="B4" s="135" t="s">
        <v>979</v>
      </c>
      <c r="C4" s="134" t="s">
        <v>980</v>
      </c>
      <c r="D4" s="134" t="s">
        <v>981</v>
      </c>
      <c r="E4" s="134" t="s">
        <v>982</v>
      </c>
      <c r="F4" s="117" t="s">
        <v>983</v>
      </c>
      <c r="G4" s="117" t="s">
        <v>984</v>
      </c>
      <c r="H4" s="134" t="s">
        <v>974</v>
      </c>
      <c r="I4" s="134" t="s">
        <v>985</v>
      </c>
      <c r="J4" s="117" t="s">
        <v>986</v>
      </c>
      <c r="K4" s="117" t="s">
        <v>987</v>
      </c>
    </row>
    <row r="5" customFormat="false" ht="60" hidden="false" customHeight="true" outlineLevel="0" collapsed="false">
      <c r="A5" s="134" t="s">
        <v>988</v>
      </c>
      <c r="B5" s="135" t="s">
        <v>989</v>
      </c>
      <c r="C5" s="134" t="s">
        <v>990</v>
      </c>
      <c r="D5" s="134" t="s">
        <v>991</v>
      </c>
      <c r="E5" s="134" t="s">
        <v>97</v>
      </c>
      <c r="F5" s="117" t="s">
        <v>992</v>
      </c>
      <c r="G5" s="117" t="s">
        <v>993</v>
      </c>
      <c r="H5" s="134" t="s">
        <v>994</v>
      </c>
      <c r="I5" s="134" t="s">
        <v>974</v>
      </c>
      <c r="J5" s="117" t="s">
        <v>842</v>
      </c>
      <c r="K5" s="117" t="s">
        <v>995</v>
      </c>
    </row>
    <row r="6" customFormat="false" ht="60" hidden="false" customHeight="true" outlineLevel="0" collapsed="false">
      <c r="A6" s="134" t="s">
        <v>996</v>
      </c>
      <c r="B6" s="135" t="s">
        <v>997</v>
      </c>
      <c r="C6" s="134" t="s">
        <v>990</v>
      </c>
      <c r="D6" s="134" t="s">
        <v>998</v>
      </c>
      <c r="E6" s="134" t="s">
        <v>999</v>
      </c>
      <c r="F6" s="117" t="s">
        <v>1000</v>
      </c>
      <c r="G6" s="117" t="s">
        <v>1001</v>
      </c>
      <c r="H6" s="134" t="s">
        <v>1002</v>
      </c>
      <c r="I6" s="134" t="s">
        <v>974</v>
      </c>
      <c r="J6" s="117" t="s">
        <v>842</v>
      </c>
      <c r="K6" s="117" t="s">
        <v>1003</v>
      </c>
    </row>
    <row r="7" customFormat="false" ht="60" hidden="false" customHeight="true" outlineLevel="0" collapsed="false">
      <c r="A7" s="134" t="s">
        <v>1004</v>
      </c>
      <c r="B7" s="135" t="s">
        <v>1005</v>
      </c>
      <c r="C7" s="134" t="s">
        <v>980</v>
      </c>
      <c r="D7" s="134" t="s">
        <v>1006</v>
      </c>
      <c r="E7" s="134" t="s">
        <v>97</v>
      </c>
      <c r="F7" s="117" t="s">
        <v>1007</v>
      </c>
      <c r="G7" s="117" t="s">
        <v>1008</v>
      </c>
      <c r="H7" s="134" t="s">
        <v>974</v>
      </c>
      <c r="I7" s="134" t="s">
        <v>1009</v>
      </c>
      <c r="J7" s="117" t="s">
        <v>1010</v>
      </c>
      <c r="K7" s="117" t="s">
        <v>1011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8"/>
    <col collapsed="false" customWidth="true" hidden="false" outlineLevel="0" max="7" min="6" style="0" width="9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62"/>
  </cols>
  <sheetData>
    <row r="1" customFormat="false" ht="24" hidden="false" customHeight="true" outlineLevel="0" collapsed="false">
      <c r="A1" s="8" t="s">
        <v>1012</v>
      </c>
      <c r="C1" s="3" t="s">
        <v>1013</v>
      </c>
    </row>
    <row r="2" customFormat="false" ht="45.75" hidden="false" customHeight="true" outlineLevel="0" collapsed="false">
      <c r="A2" s="9" t="s">
        <v>1014</v>
      </c>
      <c r="B2" s="9" t="s">
        <v>1015</v>
      </c>
      <c r="C2" s="9" t="s">
        <v>1016</v>
      </c>
      <c r="D2" s="9" t="s">
        <v>639</v>
      </c>
      <c r="E2" s="9" t="s">
        <v>640</v>
      </c>
      <c r="F2" s="9" t="s">
        <v>1017</v>
      </c>
      <c r="G2" s="9" t="s">
        <v>1018</v>
      </c>
      <c r="H2" s="9" t="s">
        <v>1019</v>
      </c>
      <c r="I2" s="9" t="s">
        <v>1020</v>
      </c>
      <c r="J2" s="9" t="s">
        <v>1021</v>
      </c>
    </row>
    <row r="3" customFormat="false" ht="39.75" hidden="false" customHeight="true" outlineLevel="0" collapsed="false">
      <c r="A3" s="136" t="s">
        <v>1022</v>
      </c>
      <c r="B3" s="137" t="s">
        <v>1023</v>
      </c>
      <c r="C3" s="138" t="s">
        <v>605</v>
      </c>
      <c r="D3" s="137" t="s">
        <v>1024</v>
      </c>
      <c r="E3" s="139" t="n">
        <v>7</v>
      </c>
      <c r="F3" s="139" t="n">
        <v>12</v>
      </c>
      <c r="G3" s="139" t="n">
        <v>24</v>
      </c>
      <c r="H3" s="139" t="n">
        <v>200</v>
      </c>
      <c r="I3" s="139" t="n">
        <v>750</v>
      </c>
      <c r="J3" s="137" t="s">
        <v>1025</v>
      </c>
    </row>
    <row r="4" customFormat="false" ht="39.75" hidden="false" customHeight="true" outlineLevel="0" collapsed="false">
      <c r="A4" s="136"/>
      <c r="B4" s="136"/>
      <c r="C4" s="138" t="s">
        <v>1026</v>
      </c>
      <c r="D4" s="137" t="s">
        <v>1027</v>
      </c>
      <c r="E4" s="139" t="n">
        <v>21</v>
      </c>
      <c r="F4" s="139" t="n">
        <v>24</v>
      </c>
      <c r="G4" s="139" t="n">
        <v>48</v>
      </c>
      <c r="H4" s="139" t="n">
        <v>750</v>
      </c>
      <c r="I4" s="139" t="n">
        <v>3000</v>
      </c>
      <c r="J4" s="137" t="s">
        <v>1028</v>
      </c>
    </row>
    <row r="5" customFormat="false" ht="15" hidden="false" customHeight="false" outlineLevel="0" collapsed="false">
      <c r="C5" s="132" t="s">
        <v>1029</v>
      </c>
      <c r="D5" s="140" t="s">
        <v>1030</v>
      </c>
      <c r="F5" s="141" t="n">
        <v>36</v>
      </c>
      <c r="G5" s="141" t="n">
        <v>72</v>
      </c>
      <c r="H5" s="141" t="n">
        <v>950</v>
      </c>
      <c r="I5" s="141" t="n">
        <v>3750</v>
      </c>
    </row>
    <row r="7" customFormat="false" ht="39.75" hidden="false" customHeight="true" outlineLevel="0" collapsed="false">
      <c r="A7" s="142" t="s">
        <v>1031</v>
      </c>
      <c r="B7" s="143" t="s">
        <v>1032</v>
      </c>
      <c r="C7" s="144" t="s">
        <v>605</v>
      </c>
      <c r="D7" s="143" t="s">
        <v>673</v>
      </c>
      <c r="E7" s="145" t="n">
        <v>9</v>
      </c>
      <c r="F7" s="145" t="n">
        <v>16</v>
      </c>
      <c r="G7" s="145" t="n">
        <v>32</v>
      </c>
      <c r="H7" s="145" t="n">
        <v>300</v>
      </c>
      <c r="I7" s="145" t="n">
        <v>1000</v>
      </c>
      <c r="J7" s="143" t="s">
        <v>1033</v>
      </c>
    </row>
    <row r="8" customFormat="false" ht="39.75" hidden="false" customHeight="true" outlineLevel="0" collapsed="false">
      <c r="A8" s="142"/>
      <c r="B8" s="142"/>
      <c r="C8" s="144" t="s">
        <v>606</v>
      </c>
      <c r="D8" s="143" t="s">
        <v>674</v>
      </c>
      <c r="E8" s="145" t="n">
        <v>20</v>
      </c>
      <c r="F8" s="145" t="n">
        <v>12</v>
      </c>
      <c r="G8" s="145" t="n">
        <v>24</v>
      </c>
      <c r="H8" s="145" t="n">
        <v>750</v>
      </c>
      <c r="I8" s="145" t="n">
        <v>1000</v>
      </c>
      <c r="J8" s="143" t="s">
        <v>1034</v>
      </c>
    </row>
    <row r="9" customFormat="false" ht="39.75" hidden="false" customHeight="true" outlineLevel="0" collapsed="false">
      <c r="A9" s="142"/>
      <c r="B9" s="142"/>
      <c r="C9" s="144" t="s">
        <v>608</v>
      </c>
      <c r="D9" s="143" t="s">
        <v>676</v>
      </c>
      <c r="E9" s="145" t="n">
        <v>8</v>
      </c>
      <c r="F9" s="145" t="n">
        <v>16</v>
      </c>
      <c r="G9" s="145" t="n">
        <v>32</v>
      </c>
      <c r="H9" s="145" t="n">
        <v>300</v>
      </c>
      <c r="I9" s="145" t="n">
        <v>2000</v>
      </c>
      <c r="J9" s="143" t="s">
        <v>1035</v>
      </c>
    </row>
    <row r="10" customFormat="false" ht="39.75" hidden="false" customHeight="true" outlineLevel="0" collapsed="false">
      <c r="A10" s="142"/>
      <c r="B10" s="142"/>
      <c r="C10" s="144" t="s">
        <v>609</v>
      </c>
      <c r="D10" s="143" t="s">
        <v>677</v>
      </c>
      <c r="E10" s="145" t="n">
        <v>8</v>
      </c>
      <c r="F10" s="145" t="n">
        <v>12</v>
      </c>
      <c r="G10" s="145" t="n">
        <v>24</v>
      </c>
      <c r="H10" s="145" t="n">
        <v>300</v>
      </c>
      <c r="I10" s="145" t="n">
        <v>1500</v>
      </c>
      <c r="J10" s="143" t="s">
        <v>1036</v>
      </c>
    </row>
    <row r="11" customFormat="false" ht="15" hidden="false" customHeight="false" outlineLevel="0" collapsed="false">
      <c r="C11" s="132" t="s">
        <v>1029</v>
      </c>
      <c r="D11" s="140" t="s">
        <v>1037</v>
      </c>
      <c r="F11" s="141" t="n">
        <v>56</v>
      </c>
      <c r="G11" s="141" t="n">
        <v>112</v>
      </c>
      <c r="H11" s="141" t="n">
        <v>1650</v>
      </c>
      <c r="I11" s="141" t="n">
        <v>5500</v>
      </c>
    </row>
    <row r="13" customFormat="false" ht="39.75" hidden="false" customHeight="true" outlineLevel="0" collapsed="false">
      <c r="A13" s="136" t="s">
        <v>1038</v>
      </c>
      <c r="B13" s="137" t="s">
        <v>1039</v>
      </c>
      <c r="C13" s="138" t="s">
        <v>604</v>
      </c>
      <c r="D13" s="137" t="s">
        <v>672</v>
      </c>
      <c r="E13" s="139" t="n">
        <v>4</v>
      </c>
      <c r="F13" s="139" t="n">
        <v>8</v>
      </c>
      <c r="G13" s="139" t="n">
        <v>12</v>
      </c>
      <c r="H13" s="139" t="n">
        <v>100</v>
      </c>
      <c r="I13" s="139" t="n">
        <v>500</v>
      </c>
      <c r="J13" s="137" t="s">
        <v>1040</v>
      </c>
    </row>
    <row r="14" customFormat="false" ht="39.75" hidden="false" customHeight="true" outlineLevel="0" collapsed="false">
      <c r="A14" s="136"/>
      <c r="B14" s="136"/>
      <c r="C14" s="138" t="s">
        <v>605</v>
      </c>
      <c r="D14" s="137" t="s">
        <v>673</v>
      </c>
      <c r="E14" s="139" t="n">
        <v>6</v>
      </c>
      <c r="F14" s="139" t="n">
        <v>12</v>
      </c>
      <c r="G14" s="139" t="n">
        <v>24</v>
      </c>
      <c r="H14" s="139" t="n">
        <v>150</v>
      </c>
      <c r="I14" s="139" t="n">
        <v>500</v>
      </c>
      <c r="J14" s="137" t="s">
        <v>1041</v>
      </c>
    </row>
    <row r="15" customFormat="false" ht="39.75" hidden="false" customHeight="true" outlineLevel="0" collapsed="false">
      <c r="A15" s="136"/>
      <c r="B15" s="136"/>
      <c r="C15" s="138" t="s">
        <v>606</v>
      </c>
      <c r="D15" s="137" t="s">
        <v>674</v>
      </c>
      <c r="E15" s="139" t="n">
        <v>13</v>
      </c>
      <c r="F15" s="139" t="n">
        <v>8</v>
      </c>
      <c r="G15" s="139" t="n">
        <v>16</v>
      </c>
      <c r="H15" s="139" t="n">
        <v>500</v>
      </c>
      <c r="I15" s="139" t="n">
        <v>500</v>
      </c>
      <c r="J15" s="137" t="s">
        <v>1042</v>
      </c>
    </row>
    <row r="16" customFormat="false" ht="39.75" hidden="false" customHeight="true" outlineLevel="0" collapsed="false">
      <c r="A16" s="136"/>
      <c r="B16" s="136"/>
      <c r="C16" s="138" t="s">
        <v>607</v>
      </c>
      <c r="D16" s="137" t="s">
        <v>675</v>
      </c>
      <c r="E16" s="139" t="n">
        <v>8</v>
      </c>
      <c r="F16" s="139" t="n">
        <v>6</v>
      </c>
      <c r="G16" s="139" t="n">
        <v>12</v>
      </c>
      <c r="H16" s="139" t="n">
        <v>200</v>
      </c>
      <c r="I16" s="139" t="n">
        <v>500</v>
      </c>
      <c r="J16" s="137" t="s">
        <v>1043</v>
      </c>
    </row>
    <row r="17" customFormat="false" ht="39.75" hidden="false" customHeight="true" outlineLevel="0" collapsed="false">
      <c r="A17" s="136"/>
      <c r="B17" s="136"/>
      <c r="C17" s="138" t="s">
        <v>608</v>
      </c>
      <c r="D17" s="137" t="s">
        <v>676</v>
      </c>
      <c r="E17" s="139" t="n">
        <v>8</v>
      </c>
      <c r="F17" s="139" t="n">
        <v>16</v>
      </c>
      <c r="G17" s="139" t="n">
        <v>32</v>
      </c>
      <c r="H17" s="139" t="n">
        <v>300</v>
      </c>
      <c r="I17" s="139" t="n">
        <v>2000</v>
      </c>
      <c r="J17" s="137" t="s">
        <v>1035</v>
      </c>
    </row>
    <row r="18" customFormat="false" ht="39.75" hidden="false" customHeight="true" outlineLevel="0" collapsed="false">
      <c r="A18" s="136"/>
      <c r="B18" s="136"/>
      <c r="C18" s="138" t="s">
        <v>609</v>
      </c>
      <c r="D18" s="137" t="s">
        <v>677</v>
      </c>
      <c r="E18" s="139" t="n">
        <v>8</v>
      </c>
      <c r="F18" s="139" t="n">
        <v>12</v>
      </c>
      <c r="G18" s="139" t="n">
        <v>24</v>
      </c>
      <c r="H18" s="139" t="n">
        <v>300</v>
      </c>
      <c r="I18" s="139" t="n">
        <v>1500</v>
      </c>
      <c r="J18" s="137" t="s">
        <v>1036</v>
      </c>
    </row>
    <row r="19" customFormat="false" ht="15" hidden="false" customHeight="false" outlineLevel="0" collapsed="false">
      <c r="C19" s="132" t="s">
        <v>1029</v>
      </c>
      <c r="D19" s="140" t="s">
        <v>1044</v>
      </c>
      <c r="F19" s="141" t="n">
        <v>62</v>
      </c>
      <c r="G19" s="141" t="n">
        <v>120</v>
      </c>
      <c r="H19" s="141" t="n">
        <v>1550</v>
      </c>
      <c r="I19" s="141" t="n">
        <v>5500</v>
      </c>
    </row>
    <row r="21" customFormat="false" ht="39.75" hidden="false" customHeight="true" outlineLevel="0" collapsed="false">
      <c r="A21" s="142" t="s">
        <v>1045</v>
      </c>
      <c r="B21" s="143" t="s">
        <v>1046</v>
      </c>
      <c r="C21" s="144" t="s">
        <v>605</v>
      </c>
      <c r="D21" s="143" t="s">
        <v>673</v>
      </c>
      <c r="E21" s="145" t="n">
        <v>8</v>
      </c>
      <c r="F21" s="145" t="n">
        <v>16</v>
      </c>
      <c r="G21" s="145" t="n">
        <v>24</v>
      </c>
      <c r="H21" s="145" t="n">
        <v>200</v>
      </c>
      <c r="I21" s="145" t="n">
        <v>750</v>
      </c>
      <c r="J21" s="143" t="s">
        <v>1047</v>
      </c>
    </row>
    <row r="22" customFormat="false" ht="39.75" hidden="false" customHeight="true" outlineLevel="0" collapsed="false">
      <c r="A22" s="142"/>
      <c r="B22" s="142"/>
      <c r="C22" s="144" t="s">
        <v>606</v>
      </c>
      <c r="D22" s="143" t="s">
        <v>674</v>
      </c>
      <c r="E22" s="145" t="n">
        <v>18</v>
      </c>
      <c r="F22" s="145" t="n">
        <v>12</v>
      </c>
      <c r="G22" s="145" t="n">
        <v>24</v>
      </c>
      <c r="H22" s="145" t="n">
        <v>750</v>
      </c>
      <c r="I22" s="145" t="n">
        <v>750</v>
      </c>
      <c r="J22" s="143" t="s">
        <v>1048</v>
      </c>
    </row>
    <row r="23" customFormat="false" ht="39.75" hidden="false" customHeight="true" outlineLevel="0" collapsed="false">
      <c r="A23" s="142"/>
      <c r="B23" s="142"/>
      <c r="C23" s="144" t="s">
        <v>1049</v>
      </c>
      <c r="D23" s="143" t="s">
        <v>1050</v>
      </c>
      <c r="E23" s="145" t="n">
        <v>8</v>
      </c>
      <c r="F23" s="145" t="n">
        <v>16</v>
      </c>
      <c r="G23" s="145" t="n">
        <v>32</v>
      </c>
      <c r="H23" s="145" t="n">
        <v>300</v>
      </c>
      <c r="I23" s="145" t="n">
        <v>4000</v>
      </c>
      <c r="J23" s="143" t="s">
        <v>1051</v>
      </c>
    </row>
    <row r="24" customFormat="false" ht="39.75" hidden="false" customHeight="true" outlineLevel="0" collapsed="false">
      <c r="A24" s="142"/>
      <c r="B24" s="142"/>
      <c r="C24" s="144" t="s">
        <v>1052</v>
      </c>
      <c r="D24" s="143" t="s">
        <v>1053</v>
      </c>
      <c r="E24" s="145" t="n">
        <v>2</v>
      </c>
      <c r="F24" s="145" t="n">
        <v>12</v>
      </c>
      <c r="G24" s="145" t="n">
        <v>24</v>
      </c>
      <c r="H24" s="145" t="n">
        <v>300</v>
      </c>
      <c r="I24" s="145" t="n">
        <v>4000</v>
      </c>
      <c r="J24" s="143" t="s">
        <v>1054</v>
      </c>
    </row>
    <row r="25" customFormat="false" ht="39.75" hidden="false" customHeight="true" outlineLevel="0" collapsed="false">
      <c r="A25" s="142"/>
      <c r="B25" s="142"/>
      <c r="C25" s="144" t="s">
        <v>609</v>
      </c>
      <c r="D25" s="143" t="s">
        <v>677</v>
      </c>
      <c r="E25" s="145" t="n">
        <v>8</v>
      </c>
      <c r="F25" s="145" t="n">
        <v>12</v>
      </c>
      <c r="G25" s="145" t="n">
        <v>24</v>
      </c>
      <c r="H25" s="145" t="n">
        <v>300</v>
      </c>
      <c r="I25" s="145" t="n">
        <v>1500</v>
      </c>
      <c r="J25" s="143" t="s">
        <v>1036</v>
      </c>
    </row>
    <row r="26" customFormat="false" ht="15" hidden="false" customHeight="false" outlineLevel="0" collapsed="false">
      <c r="C26" s="132" t="s">
        <v>1029</v>
      </c>
      <c r="D26" s="140" t="s">
        <v>1055</v>
      </c>
      <c r="F26" s="141" t="n">
        <v>68</v>
      </c>
      <c r="G26" s="141" t="n">
        <v>128</v>
      </c>
      <c r="H26" s="141" t="n">
        <v>1850</v>
      </c>
      <c r="I26" s="141" t="n">
        <v>11000</v>
      </c>
    </row>
    <row r="28" customFormat="false" ht="15" hidden="false" customHeight="false" outlineLevel="0" collapsed="false">
      <c r="A28" s="87" t="s">
        <v>1056</v>
      </c>
    </row>
    <row r="29" customFormat="false" ht="21.75" hidden="false" customHeight="true" outlineLevel="0" collapsed="false">
      <c r="A29" s="9" t="s">
        <v>1057</v>
      </c>
      <c r="B29" s="9" t="s">
        <v>639</v>
      </c>
      <c r="C29" s="9"/>
      <c r="D29" s="9"/>
      <c r="E29" s="9" t="s">
        <v>1058</v>
      </c>
      <c r="F29" s="9"/>
      <c r="G29" s="9"/>
      <c r="H29" s="9"/>
      <c r="I29" s="9"/>
      <c r="J29" s="9" t="s">
        <v>1059</v>
      </c>
    </row>
    <row r="30" customFormat="false" ht="30" hidden="false" customHeight="true" outlineLevel="0" collapsed="false">
      <c r="A30" s="88" t="s">
        <v>1060</v>
      </c>
      <c r="B30" s="146" t="s">
        <v>672</v>
      </c>
      <c r="C30" s="146"/>
      <c r="D30" s="146"/>
      <c r="E30" s="147" t="n">
        <v>4</v>
      </c>
      <c r="J30" s="80" t="s">
        <v>1040</v>
      </c>
    </row>
    <row r="31" customFormat="false" ht="30" hidden="false" customHeight="true" outlineLevel="0" collapsed="false">
      <c r="A31" s="88" t="s">
        <v>1061</v>
      </c>
      <c r="B31" s="146" t="s">
        <v>673</v>
      </c>
      <c r="C31" s="146"/>
      <c r="D31" s="146"/>
      <c r="E31" s="147" t="n">
        <v>6</v>
      </c>
      <c r="J31" s="80" t="s">
        <v>1041</v>
      </c>
    </row>
    <row r="32" customFormat="false" ht="30" hidden="false" customHeight="true" outlineLevel="0" collapsed="false">
      <c r="A32" s="88" t="s">
        <v>1062</v>
      </c>
      <c r="B32" s="146" t="s">
        <v>674</v>
      </c>
      <c r="C32" s="146"/>
      <c r="D32" s="146"/>
      <c r="E32" s="147" t="n">
        <v>13</v>
      </c>
      <c r="J32" s="80" t="s">
        <v>1042</v>
      </c>
    </row>
    <row r="33" customFormat="false" ht="30" hidden="false" customHeight="true" outlineLevel="0" collapsed="false">
      <c r="A33" s="88" t="s">
        <v>1063</v>
      </c>
      <c r="B33" s="146" t="s">
        <v>675</v>
      </c>
      <c r="C33" s="146"/>
      <c r="D33" s="146"/>
      <c r="E33" s="147" t="n">
        <v>8</v>
      </c>
      <c r="J33" s="80" t="s">
        <v>1043</v>
      </c>
    </row>
    <row r="34" customFormat="false" ht="30" hidden="false" customHeight="true" outlineLevel="0" collapsed="false">
      <c r="A34" s="88" t="s">
        <v>1064</v>
      </c>
      <c r="B34" s="146" t="s">
        <v>676</v>
      </c>
      <c r="C34" s="146"/>
      <c r="D34" s="146"/>
      <c r="E34" s="147" t="n">
        <v>8</v>
      </c>
      <c r="J34" s="80" t="s">
        <v>1035</v>
      </c>
    </row>
    <row r="35" customFormat="false" ht="30" hidden="false" customHeight="true" outlineLevel="0" collapsed="false">
      <c r="A35" s="88" t="s">
        <v>1065</v>
      </c>
      <c r="B35" s="146" t="s">
        <v>677</v>
      </c>
      <c r="C35" s="146"/>
      <c r="D35" s="146"/>
      <c r="E35" s="147" t="n">
        <v>8</v>
      </c>
      <c r="J35" s="80" t="s">
        <v>1036</v>
      </c>
    </row>
    <row r="36" customFormat="false" ht="30" hidden="false" customHeight="true" outlineLevel="0" collapsed="false">
      <c r="A36" s="88" t="s">
        <v>1066</v>
      </c>
      <c r="B36" s="146" t="s">
        <v>1024</v>
      </c>
      <c r="C36" s="146"/>
      <c r="D36" s="146"/>
      <c r="E36" s="147" t="n">
        <v>7</v>
      </c>
      <c r="J36" s="80" t="s">
        <v>1025</v>
      </c>
    </row>
    <row r="37" customFormat="false" ht="30" hidden="false" customHeight="true" outlineLevel="0" collapsed="false">
      <c r="A37" s="88" t="s">
        <v>1067</v>
      </c>
      <c r="B37" s="146" t="s">
        <v>1027</v>
      </c>
      <c r="C37" s="146"/>
      <c r="D37" s="146"/>
      <c r="E37" s="147" t="n">
        <v>15</v>
      </c>
      <c r="J37" s="80" t="s">
        <v>1068</v>
      </c>
    </row>
    <row r="38" customFormat="false" ht="30" hidden="false" customHeight="true" outlineLevel="0" collapsed="false">
      <c r="A38" s="88" t="s">
        <v>1069</v>
      </c>
      <c r="B38" s="146" t="s">
        <v>1053</v>
      </c>
      <c r="C38" s="146"/>
      <c r="D38" s="146"/>
      <c r="E38" s="147" t="n">
        <v>2</v>
      </c>
      <c r="J38" s="80" t="s">
        <v>1054</v>
      </c>
    </row>
    <row r="39" customFormat="false" ht="30" hidden="false" customHeight="true" outlineLevel="0" collapsed="false">
      <c r="A39" s="88" t="s">
        <v>1070</v>
      </c>
      <c r="B39" s="146" t="s">
        <v>1050</v>
      </c>
      <c r="C39" s="146"/>
      <c r="D39" s="146"/>
      <c r="E39" s="147" t="n">
        <v>4</v>
      </c>
      <c r="J39" s="80" t="s">
        <v>1071</v>
      </c>
    </row>
    <row r="41" customFormat="false" ht="15" hidden="false" customHeight="false" outlineLevel="0" collapsed="false">
      <c r="A41" s="95" t="s">
        <v>1072</v>
      </c>
    </row>
  </sheetData>
  <mergeCells count="18">
    <mergeCell ref="A3:A4"/>
    <mergeCell ref="B3:B4"/>
    <mergeCell ref="A7:A10"/>
    <mergeCell ref="B7:B10"/>
    <mergeCell ref="A13:A18"/>
    <mergeCell ref="B13:B18"/>
    <mergeCell ref="A21:A25"/>
    <mergeCell ref="B21:B25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2026-08-05T04:29:05Z</dcterms:created>
  <dc:creator>openpyxl</dc:creator>
  <dc:description/>
  <dc:language>en-US</dc:language>
  <cp:lastModifiedBy/>
  <dcterms:modified xsi:type="dcterms:W3CDTF">2026-08-05T04:29:06Z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